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B0DFF8883B4184B92620819BDE749040C18C9FE3" xr6:coauthVersionLast="47" xr6:coauthVersionMax="47" xr10:uidLastSave="{E9729780-81A8-4C68-86DF-E2B77B5EBD43}"/>
  <bookViews>
    <workbookView xWindow="0" yWindow="0" windowWidth="0" windowHeight="0" xr2:uid="{00000000-000D-0000-FFFF-FFFF00000000}"/>
  </bookViews>
  <sheets>
    <sheet name="Complete 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1" l="1"/>
  <c r="H101" i="1" s="1"/>
  <c r="H96" i="1"/>
  <c r="H95" i="1"/>
  <c r="H94" i="1"/>
  <c r="H97" i="1" s="1"/>
  <c r="H90" i="1"/>
  <c r="H88" i="1"/>
  <c r="H87" i="1"/>
  <c r="H86" i="1"/>
  <c r="H84" i="1"/>
  <c r="H83" i="1"/>
  <c r="H81" i="1"/>
  <c r="H80" i="1"/>
  <c r="H79" i="1"/>
  <c r="H78" i="1"/>
  <c r="H77" i="1"/>
  <c r="H76" i="1"/>
  <c r="H75" i="1"/>
  <c r="H91" i="1" s="1"/>
  <c r="H70" i="1"/>
  <c r="H69" i="1"/>
  <c r="H68" i="1"/>
  <c r="H66" i="1"/>
  <c r="H65" i="1"/>
  <c r="H64" i="1"/>
  <c r="H63" i="1"/>
  <c r="H61" i="1"/>
  <c r="H60" i="1"/>
  <c r="H59" i="1"/>
  <c r="H57" i="1"/>
  <c r="H56" i="1"/>
  <c r="H55" i="1"/>
  <c r="H54" i="1"/>
  <c r="H53" i="1"/>
  <c r="H71" i="1" s="1"/>
  <c r="H48" i="1"/>
  <c r="H47" i="1"/>
  <c r="H46" i="1"/>
  <c r="H45" i="1"/>
  <c r="H44" i="1"/>
  <c r="H43" i="1"/>
  <c r="H42" i="1"/>
  <c r="H41" i="1"/>
  <c r="H39" i="1"/>
  <c r="H37" i="1"/>
  <c r="H35" i="1"/>
  <c r="H34" i="1"/>
  <c r="H33" i="1"/>
  <c r="H32" i="1"/>
  <c r="H31" i="1"/>
  <c r="H30" i="1"/>
  <c r="H29" i="1"/>
  <c r="H27" i="1"/>
  <c r="H26" i="1"/>
  <c r="H25" i="1"/>
  <c r="H24" i="1"/>
  <c r="H23" i="1"/>
  <c r="H21" i="1"/>
  <c r="H20" i="1"/>
  <c r="H19" i="1"/>
  <c r="H17" i="1"/>
  <c r="H16" i="1"/>
  <c r="H14" i="1"/>
  <c r="H13" i="1"/>
  <c r="H12" i="1"/>
  <c r="H9" i="1"/>
  <c r="H8" i="1"/>
  <c r="H49" i="1" s="1"/>
  <c r="H103" i="1" s="1"/>
  <c r="H105" i="1" s="1"/>
</calcChain>
</file>

<file path=xl/sharedStrings.xml><?xml version="1.0" encoding="utf-8"?>
<sst xmlns="http://schemas.openxmlformats.org/spreadsheetml/2006/main" count="361" uniqueCount="350">
  <si>
    <t>Team 1</t>
  </si>
  <si>
    <t>24V / 250W Brushed DC Motor Driver  IR2104 Half-Bridge</t>
  </si>
  <si>
    <t>Includes: PCB components, connection materials,  mechanical hardware and motor</t>
  </si>
  <si>
    <t>#</t>
  </si>
  <si>
    <t>Reference</t>
  </si>
  <si>
    <t>Qty</t>
  </si>
  <si>
    <t>Value / Description</t>
  </si>
  <si>
    <t>Spec</t>
  </si>
  <si>
    <t>Source</t>
  </si>
  <si>
    <t>Unit € (est.)</t>
  </si>
  <si>
    <t>Total €</t>
  </si>
  <si>
    <t>Notes</t>
  </si>
  <si>
    <t>A — PCB ELECTRONIC COMPONENTS (from KiCad BOM)</t>
  </si>
  <si>
    <t xml:space="preserve">  A.1 — Power Stage</t>
  </si>
  <si>
    <t>Q1, Q2</t>
  </si>
  <si>
    <t xml:space="preserve">IRFZ44NSPBF MOSFET N-Ch </t>
  </si>
  <si>
    <t>D²Pak, 55V 49A 0,0175Ω</t>
  </si>
  <si>
    <t>https://www.reichelt.de/de/de/shop/produkt/mosfet_n-ch_55v_49a_0_0175r_d_pak-254808?PROVID=2788&amp;gad_source=1&amp;gad_campaignid=18337673922&amp;gbraid=0AAAAADwnxtbmPJRG6UC7a5akwmLQKmMvO&amp;gclid=CjwKCAjw2rrQBhBuEiwAarLWHfEweO_oYiMXWWt06O_mfQyfrNRu05od7gkVPs2bz2qxWppA0Sr22BoCyiEQAvD_BwE</t>
  </si>
  <si>
    <t>Half-bridge switches</t>
  </si>
  <si>
    <t>D4</t>
  </si>
  <si>
    <t>MBRS2045CT Schottky diode</t>
  </si>
  <si>
    <t>D²Pak, 20A 45V</t>
  </si>
  <si>
    <r>
      <rPr>
        <sz val="9"/>
        <rFont val="Arial"/>
      </rPr>
      <t xml:space="preserve">  </t>
    </r>
    <r>
      <rPr>
        <u/>
        <sz val="9"/>
        <color rgb="FF1155CC"/>
        <rFont val="Arial"/>
      </rPr>
      <t>https://www.reichelt.de/de/de/shop/produkt/smd-schottky_45v_20a_2x10_d_pak-378115?PROVID=2788&amp;gad_source=1&amp;gad_campaignid=18337673922&amp;gbraid=0AAAAADwnxtbmPJRG6UC7a5akwmLQKmMvO&amp;gclid=CjwKCAjw2rrQBhBuEiwAarLWHaVFF034H-zoSJwZ9zOjY1MRhFhYVPkCT6kZDJQVQJHoMbZezWTmRBoC-3wQAvD_BwE</t>
    </r>
  </si>
  <si>
    <t>Freewheeling — CORRECTED from 1N5822</t>
  </si>
  <si>
    <t>F1</t>
  </si>
  <si>
    <t xml:space="preserve">LITT 0287015 </t>
  </si>
  <si>
    <t>Littlefuse KFZ-Sicherung, ATO, 15 A, blau</t>
  </si>
  <si>
    <t>https://www.reichelt.de/de/de/shop/produkt/kfz-sicherung_ato_15_a_blau-242164?PROVID=2788&amp;gad_source=1&amp;gad_campaignid=1622074784&amp;gbraid=0AAAAADwnxtZVwEUtxcH9qsXPmzEmaCqB1&amp;gclid=CjwKCAjw2rrQBhBuEiwAarLWHZHtDVuy9sdrG0cPlRmaC98-AHjnOWihCKYeyBkjy6sPSFNGsc7ulxoC4WMQAvD_BwE</t>
  </si>
  <si>
    <t>Input protection</t>
  </si>
  <si>
    <t>D1</t>
  </si>
  <si>
    <t xml:space="preserve">P4SMAJ33CA </t>
  </si>
  <si>
    <t>TVS-Diode, bidirektional, 33 V, 400 W, DO-214AC/SMA</t>
  </si>
  <si>
    <t>https://www.reichelt.de/de/de/shop/produkt/tvs-diode_bidirektional_33_v_400_w_do-214ac_sma-272868?PROVID=2788&amp;gad_source=1&amp;gad_campaignid=18337673922&amp;gbraid=0AAAAADwnxtbmPJRG6UC7a5akwmLQKmMvO&amp;gclid=CjwKCAjw2rrQBhBuEiwAarLWHT_5vfH2gNMbcBC0705UfSElexWMqzDVowhqKTHGXKv2i2aflOo8vhoCiSIQAvD_BwE</t>
  </si>
  <si>
    <t>24V transient clamp</t>
  </si>
  <si>
    <t>D3</t>
  </si>
  <si>
    <t>BAS 16J</t>
  </si>
  <si>
    <t>SMD Si all-purpose diodes, SOD323F, 100 V, 0.25 A</t>
  </si>
  <si>
    <t>https://www.reichelt.com/ie/en/shop/product/smd_si_all-purpose_diodes_sod323f_100_v_0_25_a-95203&amp;utm_medium=&amp;utm_campaign=&amp;track_id=&amp;country=ie&amp;CCTYPE=private&amp;LANGUAGE=en#closemodal</t>
  </si>
  <si>
    <t>Bootstrap diode</t>
  </si>
  <si>
    <t>D5</t>
  </si>
  <si>
    <t>nexperia BZV 55-C5V1 NXP</t>
  </si>
  <si>
    <t>Zenerdiode, 5,1 V, 0,5 W, SOD-80</t>
  </si>
  <si>
    <t>https://www.reichelt.de/de/de/shop/produkt/zenerdiode_5_1_v_0_5_w_sod-80-219417?PROVID=2788&amp;gad_source=1&amp;gad_campaignid=1622074784&amp;gbraid=0AAAAADwnxtZVwEUtxcH9qsXPmzEmaCqB1&amp;gclid=CjwKCAjw2rrQBhBuEiwAarLWHVDuG5CFWtV03oBJAS-ROmPsgatdUXbZ1cfZL3rNcmNPYaSqEtJERBoCmasQAvD_BwE</t>
  </si>
  <si>
    <t>Voltage reference/protection</t>
  </si>
  <si>
    <t>fischer Elektronik  FK 244 13 D2 PAK</t>
  </si>
  <si>
    <t>Kühlkörper, 13 mm, Kupfer, 22,8 K/W, PowerSO-10/SO-14/SO-16/SO-8</t>
  </si>
  <si>
    <t>https://www.reichelt.de/de/de/shop/produkt/kuehlkoerper_13_mm_kupfer_22_8_k_w_powerso-10_so-14_so-16_so-8-228050</t>
  </si>
  <si>
    <t>Kühlkörper für D2Pak Mosfets</t>
  </si>
  <si>
    <t xml:space="preserve">  A.2 — Voltage Regulation</t>
  </si>
  <si>
    <t>U1</t>
  </si>
  <si>
    <t>L7812CV STM 12V linear regulator</t>
  </si>
  <si>
    <t>TO-220</t>
  </si>
  <si>
    <t>https://www.reichelt.de/de/de/shop/produkt/spannungsregler_fest_12_v_1_5a_4_to-220-216569?PROVID=2788&amp;gad_source=1&amp;gad_campaignid=1622074784&amp;gbraid=0AAAAADwnxtZVwEUtxcH9qsXPmzEmaCqB1&amp;gclid=CjwKCAjw2rrQBhBuEiwAarLWHVHgrq79MLQDtMu-K_gZenh1_piOjXXRA9mNjuo2Mz1Y0s2lj-ELpBoCJMsQAvD_BwE</t>
  </si>
  <si>
    <t>Mandatory: IR2104 VCC (UVLO 8.2V)</t>
  </si>
  <si>
    <t>J3</t>
  </si>
  <si>
    <t>LM2596S DEBO DCDC 2.5W</t>
  </si>
  <si>
    <t>Entwicklerboards - Spannungsregler 2,5 W, DC/DC-Wandler, LM2596S, 4-pin header module</t>
  </si>
  <si>
    <t>https://www.reichelt.de/de/de/shop/produkt/entwicklerboards_-_spannungsregler_2_5_w_dc_dc-wandler_lm2596s-282576?PROVID=2788&amp;gad_source=1&amp;gad_campaignid=1622074784&amp;gbraid=0AAAAADwnxtZVwEUtxcH9qsXPmzEmaCqB1&amp;gclid=CjwKCAjw2rrQBhBuEiwAarLWHdaTY5YSwajJKv_A3Hx9sS9pjuDWdqUvb2HUYCKvP1usIuv2EsmVrhoCwagQAvD_BwE</t>
  </si>
  <si>
    <t>24V → 5V for Arduino</t>
  </si>
  <si>
    <t xml:space="preserve">  A.3 — Control &amp; Driver</t>
  </si>
  <si>
    <t>A1</t>
  </si>
  <si>
    <t>Arduino Nano v3.x (ATmega328P)</t>
  </si>
  <si>
    <t>Module, 16 MHz, 5V</t>
  </si>
  <si>
    <t>Main controller</t>
  </si>
  <si>
    <t>U3</t>
  </si>
  <si>
    <t>IR2104 half-bridge gate driver</t>
  </si>
  <si>
    <t>DIP-8</t>
  </si>
  <si>
    <t>https://www.reichelt.de/de/de/shop/produkt/brueckentreiber_halbbruecke_so-8-115928?PROVID=2788&amp;gad_source=1&amp;gad_campaignid=1622074784&amp;gbraid=0AAAAADwnxtZVwEUtxcH9qsXPmzEmaCqB1&amp;gclid=CjwKCAjw2rrQBhBuEiwAarLWHVKRpl1C37J-7ZZFTG6Co7wIDA7is688IxN2zk1ZN6elVtlLL9JvDxoCcdcQAvD_BwE</t>
  </si>
  <si>
    <t>520ns deadtime, SD pin</t>
  </si>
  <si>
    <t>U2</t>
  </si>
  <si>
    <t>LM 358 DIP dual op-amp</t>
  </si>
  <si>
    <t>https://www.reichelt.de/de/de/shop/produkt/operationsverstaerker_2-fach_dip-8-10483?PROVID=2788&amp;gad_source=1&amp;gad_campaignid=1622074784&amp;gbraid=0AAAAADwnxtZVwEUtxcH9qsXPmzEmaCqB1&amp;gclid=CjwKCAjw2rrQBhBuEiwAarLWHeZyHElPIOgPGyeDj-3keFrpWXHk5KGKCqcWFhic373XGRXBez1OaBoCAiAQAvD_BwE</t>
  </si>
  <si>
    <t>Current sense amplifier (G≈16)</t>
  </si>
  <si>
    <t xml:space="preserve">  A.4 — Capacitors</t>
  </si>
  <si>
    <t>C1</t>
  </si>
  <si>
    <t>ELKO-Polymere Hybrid SMD, 100 µF, 50 V, 145°C</t>
  </si>
  <si>
    <t>10,0 x 10,2 mm</t>
  </si>
  <si>
    <t>https://www.reichelt.de/de/de/shop/produkt/elko-polymere_hybrid_smd_100_f_50_v_145_c_10_0_x_10_2_mm-228600</t>
  </si>
  <si>
    <t>Input bulk decoupling, eliminating ripple current</t>
  </si>
  <si>
    <t>C3, C6, C7,C9,C11</t>
  </si>
  <si>
    <t>Wasin 1206B104K500CT</t>
  </si>
  <si>
    <t>SMD-Kerko, 1206, 100 nF, 50V, 10%, X7R, MLCC</t>
  </si>
  <si>
    <t>https://www.reichelt.de/de/de/shop/produkt/smd-kerko_1206_100_nf_50v_10_x7r_mlcc-346850</t>
  </si>
  <si>
    <t>IC decoupling</t>
  </si>
  <si>
    <t>C4</t>
  </si>
  <si>
    <t>Wasin WAL 1206B334K500</t>
  </si>
  <si>
    <t>SMD-Kerko, 1206, 330 nF, 50V, 10%, X7R, MLCC</t>
  </si>
  <si>
    <t>https://www.reichelt.de/de/de/shop/produkt/smd-kerko_1206_330_nf_50v_10_x7r_mlcc-346856</t>
  </si>
  <si>
    <t>C5</t>
  </si>
  <si>
    <t>Samsung CL31B106KBHNNNE</t>
  </si>
  <si>
    <t>MLCC, 1206, 10uF, 50V, X7R, ±10%, H1,6 mm</t>
  </si>
  <si>
    <t>https://www.reichelt.de/de/de/shop/produkt/mlcc_1206_10uf_50v_x7r_-10_h1_6_mm-429149</t>
  </si>
  <si>
    <t>C2, C8, C10</t>
  </si>
  <si>
    <t>muRata GRM31CR72A105K</t>
  </si>
  <si>
    <t>MLCC, 1206, 1µF, 100 V, ±10%, X7R</t>
  </si>
  <si>
    <t>https://www.reichelt.de/de/de/shop/produkt/mlcc_1206_1_f_100_v_-10_x7r-409216</t>
  </si>
  <si>
    <t>Bootstrap capacitors</t>
  </si>
  <si>
    <t xml:space="preserve">  A.5 — Resistors</t>
  </si>
  <si>
    <t>R1, R7, R8</t>
  </si>
  <si>
    <t>RND 0603 1 93,1K</t>
  </si>
  <si>
    <t>SMD-Widerstand, 0603, 93,1 kOhm, 100 mW, 1%</t>
  </si>
  <si>
    <t>https://www.reichelt.de/de/de/shop/produkt/smd-widerstand_0603_93_1_kohm_100_mw_1_-213152?PROVID=2788&amp;gad_source=1&amp;gad_campaignid=1622074784&amp;gbraid=0AAAAADwnxtZVwEUtxcH9qsXPmzEmaCqB1&amp;gclid=CjwKCAjw2rrQBhBuEiwAarLWHaJZ7X1yqsYgTZ07x9TmeAnD4jRpboAMLVVHEXYaW8KD4yFRATSk5RoC36gQAvD_BwE</t>
  </si>
  <si>
    <t>Pull-up / general</t>
  </si>
  <si>
    <t>R2, R4</t>
  </si>
  <si>
    <t>RND 1550805 AH</t>
  </si>
  <si>
    <t>SMD-Widerstand, 0805, 10 Ohm, 125 mW, 5%</t>
  </si>
  <si>
    <t>https://www.reichelt.de/de/de/shop/produkt/smd-widerstand_0805_10_ohm_125_mw_5_-250225?PROVID=2788&amp;gad_source=1&amp;gad_campaignid=1622074784&amp;gbraid=0AAAAADwnxtZVwEUtxcH9qsXPmzEmaCqB1&amp;gclid=CjwKCAjw2rrQBhBuEiwAarLWHVRJty6ums8om2Y-0LmmKa9YYWnWzfRy-KifM2XnQMXF48RRqeKupBoCmpMQAvD_BwE</t>
  </si>
  <si>
    <t>Gate resistors (di/dt limit)</t>
  </si>
  <si>
    <t>R3, R5</t>
  </si>
  <si>
    <t>Wasin WAL WR12X1002FTL</t>
  </si>
  <si>
    <t>SMD-Widerstand, 1206, 10 kOhm, 250 mW, 1%</t>
  </si>
  <si>
    <t>https://www.reichelt.de/de/de/shop/produkt/smd-widerstand_1206_10_kohm_250_mw_1_-346640?PROVID=2788&amp;gad_source=1&amp;gad_campaignid=1622074784&amp;gbraid=0AAAAADwnxtZVwEUtxcH9qsXPmzEmaCqB1&amp;gclid=CjwKCAjw2rrQBhBuEiwAarLWHXVfv1gI4oBKKhn4cunktD6T3cQqxUgIyKnMMSAHwyV3oQSA4ebxFBoC80EQAvD_BwE</t>
  </si>
  <si>
    <t>Gate pull-downs</t>
  </si>
  <si>
    <t>R6</t>
  </si>
  <si>
    <t>VIT KN350-85B0R1</t>
  </si>
  <si>
    <t>https://www.reichelt.de/de/de/shop/produkt/drahtwiderstand_axial_4_w_0_01_ohm_5_-233356</t>
  </si>
  <si>
    <t>Current sense shunt</t>
  </si>
  <si>
    <t>R9</t>
  </si>
  <si>
    <t>Waisin WAL WR12X1502FTL</t>
  </si>
  <si>
    <t>SMD-Widerstand, 1206, 15 kOhm, 250 mW, 1%</t>
  </si>
  <si>
    <t>https://www.reichelt.de/de/de/shop/produkt/smd-widerstand_1206_15_kohm_250_mw_1_-346648</t>
  </si>
  <si>
    <t>Op-amp gain (1k+15k=G16)</t>
  </si>
  <si>
    <t>R10</t>
  </si>
  <si>
    <t>Vishay VIS CRCW12061002</t>
  </si>
  <si>
    <t>SMD-Widerstand, 1206, 100 Ohm, 250 mW, 1%</t>
  </si>
  <si>
    <t>https://www.reichelt.de/de/de/shop/produkt/smd-widerstand_1206_100_ohm_250_mw_1_-238101</t>
  </si>
  <si>
    <t>LED current limit</t>
  </si>
  <si>
    <t>R11, R12, R13</t>
  </si>
  <si>
    <t>Wasin WR12X3300FTL</t>
  </si>
  <si>
    <t>SMD-Widerstand, 1206, 330 Ohm, 250 mW, 1%</t>
  </si>
  <si>
    <t>https://www.reichelt.de/de/de/shop/produkt/smd-widerstand_1206_330_ohm_250_mw_1_-346670</t>
  </si>
  <si>
    <t>Status LED resistors</t>
  </si>
  <si>
    <t xml:space="preserve">  A.6 — LEDs &amp; Indicators</t>
  </si>
  <si>
    <t>D2</t>
  </si>
  <si>
    <t>Everlight EVL 11-21SYGC</t>
  </si>
  <si>
    <t>SMD-LED 1206, Super-Gelb-Grün, AlGaInP, 29 mcd, 60°, 3,0 x 1,5mm</t>
  </si>
  <si>
    <t>https://www.reichelt.de/de/de/shop/produkt/smd-led_1206_super-gelb-gruen_algainp_29_mcd_60_3_0_x_1_5mm-231610</t>
  </si>
  <si>
    <t>Power-on indicator</t>
  </si>
  <si>
    <t>EVL 11-21SURC/S2</t>
  </si>
  <si>
    <t>LED, SMD 1206, rot, 180 mcd, 60°</t>
  </si>
  <si>
    <t>https://www.reichelt.de/de/de/shop/produkt/led_smd_1206_rot_180_mcd_60_-231609</t>
  </si>
  <si>
    <t>D6, D7, D8</t>
  </si>
  <si>
    <t>Huiyuan 1206Y1C-KHA-C</t>
  </si>
  <si>
    <t>LED, SMD 1206, gelb, 150 mcd, 120°</t>
  </si>
  <si>
    <t>https://www.reichelt.de/de/de/shop/produkt/led_smd_1206_gelb_150_mcd_120_-361548</t>
  </si>
  <si>
    <t>Status: run / fault / PWM</t>
  </si>
  <si>
    <t xml:space="preserve">  A.7 — PCB Connectors</t>
  </si>
  <si>
    <t>J1</t>
  </si>
  <si>
    <t>24V_IN screw terminal DG127 5,08-2</t>
  </si>
  <si>
    <t>Phoenix MKDS 1.5/2 P5mm</t>
  </si>
  <si>
    <t>https://www.reichelt.de/de/de/shop/produkt/leiterplattenklemme_2_polig_rm_5_08_mm-276156</t>
  </si>
  <si>
    <t>24V input</t>
  </si>
  <si>
    <t>J2</t>
  </si>
  <si>
    <t>MAIN_PWR screw terminal DG127 5,08-2</t>
  </si>
  <si>
    <t>Main power bus</t>
  </si>
  <si>
    <t>J4</t>
  </si>
  <si>
    <t>Motor output screw terminal DG127 5,08-2</t>
  </si>
  <si>
    <t>Phoenix MKDS 1.5/2 P5.08mm</t>
  </si>
  <si>
    <t>Motor M+/M−</t>
  </si>
  <si>
    <t>J5, J6, J7</t>
  </si>
  <si>
    <t>MPE 087-1-002</t>
  </si>
  <si>
    <t>PinHeader 1×02 P2.54mm</t>
  </si>
  <si>
    <t>https://www.reichelt.de/de/de/shop/produkt/stiftleisten_2_54_mm_1x02_gerade-119879</t>
  </si>
  <si>
    <t>Signal jumpers</t>
  </si>
  <si>
    <t>J8</t>
  </si>
  <si>
    <t xml:space="preserve">BTN_ON 2-pin header </t>
  </si>
  <si>
    <r>
      <rPr>
        <sz val="9"/>
        <rFont val="Arial"/>
      </rPr>
      <t xml:space="preserve">
</t>
    </r>
    <r>
      <rPr>
        <u/>
        <sz val="9"/>
        <color rgb="FF1155CC"/>
        <rFont val="Arial"/>
      </rPr>
      <t>https://www.reichelt.de/de/de/shop/produkt/stiftleisten_2_54_mm_1x02_gerade-119879</t>
    </r>
  </si>
  <si>
    <t>ON button input</t>
  </si>
  <si>
    <t>J9</t>
  </si>
  <si>
    <t>ISP/button 2×3 header MPE 087-2-006</t>
  </si>
  <si>
    <t>PinHeader 2×03 P2.54mm</t>
  </si>
  <si>
    <t>https://www.reichelt.de/de/de/shop/produkt/stiftleisten_2_54_mm_2x03_gerade-119893</t>
  </si>
  <si>
    <t>Programming / button input</t>
  </si>
  <si>
    <t>BKL Electronic BKL 10120953</t>
  </si>
  <si>
    <t>Buchsenleiste 2,54mm 1x16 gerade</t>
  </si>
  <si>
    <t>https://www.reichelt.de/de/de/shop/produkt/buchsenleiste_2_54mm_1x16_gerade-266678</t>
  </si>
  <si>
    <t>Arduino Pinverbindung</t>
  </si>
  <si>
    <t>—</t>
  </si>
  <si>
    <t>Fuse holder 5×20mm</t>
  </si>
  <si>
    <t>Horizontal open mount</t>
  </si>
  <si>
    <t>https://www.reichelt.de/de/de/shop/produkt/sicherungshalter_fuer_5_x_20_mm_250_v_6_3_a-243307?PROVID=2788&amp;gad_source=1&amp;gad_campaignid=21157097500&amp;gbraid=0AAAAADwnxtYK8ESSZT_cBLsiNA0JQ5dYh&amp;gclid=CjwKCAjw2rrQBhBuEiwAarLWHQZvM6087P-2synn1QjU6BWkV-T8y0t1HarzQuGCUFmFz0nJkWlTKBoCOF4QAvD_BwE</t>
  </si>
  <si>
    <t>For F1</t>
  </si>
  <si>
    <t>SUBTOTAL A — PCB Components</t>
  </si>
  <si>
    <t>~50 individual components</t>
  </si>
  <si>
    <t>B — CONNECTION MATERIALS (per Project Hints Appendix 5)</t>
  </si>
  <si>
    <t xml:space="preserve">  B.1 — Cables &amp; Wires</t>
  </si>
  <si>
    <t>W1</t>
  </si>
  <si>
    <t>12 AWG / 4mm² silicone wire RED (5m)</t>
  </si>
  <si>
    <t>Stranded, 600V rated</t>
  </si>
  <si>
    <t>https://www.amazon.de/QWORK%C2%AE-12AWG-Silikon-Elektronik-Kabel/dp/B0C9MBMM76/ref=asc_df_B0C9MBMM76?mcid=7f4c1dfa28783ea8ac78575c5a2f7dce&amp;th=1&amp;tag=googshopde-21&amp;linkCode=df0&amp;hvadid=696932186053&amp;hvpos=&amp;hvnetw=g&amp;hvrand=18379252189547176377&amp;hvpone=&amp;hvptwo=&amp;hvqmt=&amp;hvdev=c&amp;hvdvcmdl=&amp;hvlocint=&amp;hvlocphy=9043008&amp;hvtargid=pla-2247178282318&amp;hvocijid=18379252189547176377-B0C9MBMM76-&amp;hvexpln=0</t>
  </si>
  <si>
    <t>24V power bus, motor+, ≥15A capable</t>
  </si>
  <si>
    <t>W2</t>
  </si>
  <si>
    <t>12 AWG / 4mm² silicone wire BLACK (5m)</t>
  </si>
  <si>
    <t>GND return, motor−</t>
  </si>
  <si>
    <t>DEBO OLED2 0.96</t>
  </si>
  <si>
    <t>Entwicklerboards - Display, 0,96", OLED-Display, SSD1306</t>
  </si>
  <si>
    <t>https://www.reichelt.de/de/de/shop/produkt/entwicklerboards_-_display_0_96_oled-display_ssd1306-266107</t>
  </si>
  <si>
    <t>W3</t>
  </si>
  <si>
    <t>22 AWG / 0.34mm² hookup wire set (6 colors)</t>
  </si>
  <si>
    <t>10m per color</t>
  </si>
  <si>
    <t>https://www.amazon.de/Fermerry-Litzendraht-Kupferdrahtspule-10-Elektrokabel-Kit/dp/B09BFPHRZ6/ref=asc_df_B09BFPHRZ6?mcid=43af50cb91803fcea1a1ab991a73aef1&amp;th=1&amp;tag=googshopde-21&amp;linkCode=df0&amp;hvadid=696436075391&amp;hvpos=&amp;hvnetw=g&amp;hvrand=7859857547021379507&amp;hvpone=&amp;hvptwo=&amp;hvqmt=&amp;hvdev=c&amp;hvdvcmdl=&amp;hvlocint=&amp;hvlocphy=9043008&amp;hvtargid=pla-1511792452070&amp;hvocijid=7859857547021379507-B09BFPHRZ6-&amp;hvexpln=0</t>
  </si>
  <si>
    <t>Signal: buttons, LEDs, I²C, ADC</t>
  </si>
  <si>
    <t>W4</t>
  </si>
  <si>
    <t>18 AWG / 1mm² wire RED+BLACK (3m each)</t>
  </si>
  <si>
    <t>Stranded</t>
  </si>
  <si>
    <t>https://www.reichelt.de/de/de/shop/produkt/lautsprecherkabel_2x1_5_mm_10_m_rot_schwarz_cca-364143?PROVID=2788&amp;gad_source=1&amp;gad_campaignid=21154720511&amp;gbraid=0AAAAADwnxtZxntLwOl5x7QGFxJzUGhlSL&amp;gclid=CjwKCAjw2rrQBhBuEiwAarLWHXApFjh7KpiBuPkezMHXcPrW-RL1itYW7V_IVsXTnVFdgI0uK8eMhxoCZsIQAvD_BwE</t>
  </si>
  <si>
    <t>12V/5V regulation bus</t>
  </si>
  <si>
    <t xml:space="preserve">  B.2 — Off-Board Connectors</t>
  </si>
  <si>
    <t>CON1</t>
  </si>
  <si>
    <t>XT60 panel-mount pair + pigtails</t>
  </si>
  <si>
    <t>Male+Female, 60A rated</t>
  </si>
  <si>
    <t>https://www.reichelt.de/de/de/shop/produkt/steckverbinder_fuer_li-polymer-akkus_2-polig_xt60_mit_kappe-342796?PROVID=2788&amp;gad_source=1&amp;gad_campaignid=18336599199&amp;gbraid=0AAAAADwnxtYYRYc_cZwyG-95-7mEb_8KE&amp;gclid=CjwKCAjw2rrQBhBuEiwAarLWHXbAaCbAEx7IwWlSM3Z4-_cQGQE_rtLV2-lx7vIYISLXqIER9RtmhBoCJ8AQAvD_BwE</t>
  </si>
  <si>
    <t>Battery / PSU input connector</t>
  </si>
  <si>
    <t>CON2</t>
  </si>
  <si>
    <t>4mm banana socket panel-mount (Red+Black)</t>
  </si>
  <si>
    <t>4mm, 32A rated</t>
  </si>
  <si>
    <t>https://www.reichelt.de/de/de/shop/produkt/einbaubuchse_4_mm_faston_rot_gesichert-106130?PROVID=2788&amp;gad_source=1&amp;gad_campaignid=18347782207&amp;gbraid=0AAAAADwnxtYFSeRAKeDBBSUE20KPaiavn&amp;gclid=CjwKCAjw2rrQBhBuEiwAarLWHY73pwFl5dRDsaAAClijMYjWal6mVTbGdfuHuTbVJFpek5vbwab96RoCrJ8QAvD_BwE</t>
  </si>
  <si>
    <t>Test points for lab PSU probes</t>
  </si>
  <si>
    <t>CON3</t>
  </si>
  <si>
    <t>GX16-2 aviation connector pair</t>
  </si>
  <si>
    <t>2-pin, 15A rated</t>
  </si>
  <si>
    <t>https://www.amazon.de/MSCHENZW-Verbinder-2-Poliger-Schrauben-Anschluss/dp/B0D7CLRNP4?source=ps-sl-shoppingads-lpcontext&amp;ref_=fplfs&amp;psc=1&amp;smid=AIF6OJSKBEBAS</t>
  </si>
  <si>
    <t>Motor disconnect (optional but clean)</t>
  </si>
  <si>
    <t xml:space="preserve">  B.3 — Terminals &amp; Crimps</t>
  </si>
  <si>
    <t>T1</t>
  </si>
  <si>
    <t>Screw terminal block 5.08mm 2-pole (spare)</t>
  </si>
  <si>
    <t>15A rated</t>
  </si>
  <si>
    <t>Spares for PCB + motor wiring</t>
  </si>
  <si>
    <t>T2</t>
  </si>
  <si>
    <t>Crimp ferrule kit 0.5–6mm²</t>
  </si>
  <si>
    <t>~100 pcs assorted</t>
  </si>
  <si>
    <t>https://www.reichelt.de/de/de/shop/produkt/aderendhuelsen-sortiment_isoliert_0_5_-_2_5_mm_-24731?PROVID=2788&amp;gad_source=1&amp;gad_campaignid=21157097500&amp;gbraid=0AAAAADwnxtYK8ESSZT_cBLsiNA0JQ5dYh&amp;gclid=CjwKCAjw2rrQBhBuEiwAarLWHaAzNErJ-1QgG64b5PVpqfO0ipzULf46GGQQZX_sIjjuxoagnCXFIxoC8jgQAvD_BwE</t>
  </si>
  <si>
    <t>All wire ends get ferrules</t>
  </si>
  <si>
    <t>T3</t>
  </si>
  <si>
    <t>Heat-shrink tubing assortment</t>
  </si>
  <si>
    <t>100 pcs, 2:1 ratio</t>
  </si>
  <si>
    <t>https://www.reichelt.de/de/de/shop/produkt/schrumpfschlauch-sortiment_2_1_10cm_100st_-149031?PROVID=2788&amp;gad_source=1&amp;gad_campaignid=21157097500&amp;gbraid=0AAAAADwnxtYK8ESSZT_cBLsiNA0JQ5dYh&amp;gclid=CjwKCAjw2rrQBhBuEiwAarLWHXzwB8nOd6jiePjZaGx5Cu4UWzSJQR-fxixxMzz06t3Kzb44IohtQRoCI9UQAvD_BwE</t>
  </si>
  <si>
    <t>Insulation on splices &amp; terminals</t>
  </si>
  <si>
    <t>T4</t>
  </si>
  <si>
    <t>Ring terminal kit M3/M4 (4mm²)</t>
  </si>
  <si>
    <t>20 pcs</t>
  </si>
  <si>
    <t>https://www.reichelt.de/de/de/shop/produkt/ring-kerbschuhe_fuer_m4_rot-231392?PROVID=2788&amp;gad_source=1&amp;gad_campaignid=21154720511&amp;gbraid=0AAAAADwnxtZxntLwOl5x7QGFxJzUGhlSL&amp;gclid=CjwKCAjw2rrQBhBuEiwAarLWHcb_kic9Aa96CZRk7GiQVnWU6qAyN7q0GJyUq7WNZRLnG5E2gpfICxoCQEoQAvD_BwE</t>
  </si>
  <si>
    <t>Motor terminals, grounding points</t>
  </si>
  <si>
    <t xml:space="preserve">  B.4 — Cable Management</t>
  </si>
  <si>
    <t>CM1</t>
  </si>
  <si>
    <t>Cable tie pack (100mm + 200mm)</t>
  </si>
  <si>
    <t>100 pcs mixed</t>
  </si>
  <si>
    <t>https://www.reichelt.de/de/de/shop/produkt/kabelbinder_uv-bestaendig_100_mm_schwarz_100er-pack-24764?PROVID=2788&amp;gad_source=1&amp;gad_campaignid=21157097500&amp;gbraid=0AAAAADwnxtYK8ESSZT_cBLsiNA0JQ5dYh&amp;gclid=CjwKCAjw2rrQBhBuEiwAarLWHV-gIiEYswlb0jkqUGn0DFPyOLATb0nzPzNFRPOIHFIQTA71gSjTmxoCAbAQAvD_BwE</t>
  </si>
  <si>
    <t>Wire routing &amp; strain relief</t>
  </si>
  <si>
    <t>CM2</t>
  </si>
  <si>
    <t>Self-adhesive cable clip set</t>
  </si>
  <si>
    <t>20 pcs, for wood screw</t>
  </si>
  <si>
    <t>https://www.reichelt.de/de/de/shop/produkt/kabelhalter_selbstkleb_verstellbar_16_5-20_1_sw-114110?PROVID=2788&amp;gad_source=1&amp;gad_campaignid=21157097500&amp;gbraid=0AAAAADwnxtYK8ESSZT_cBLsiNA0JQ5dYh&amp;gclid=CjwKCAjw2rrQBhBuEiwAarLWHSQRZwhz0ZqIelTNG1b9doNGEqEFRBlDG04_ZP5_LUWaOq5cenvX-hoCmiMQAvD_BwE</t>
  </si>
  <si>
    <t>Route wires along board edges</t>
  </si>
  <si>
    <t>CM3</t>
  </si>
  <si>
    <t>Spiral wrap 6mm × 2m</t>
  </si>
  <si>
    <t>PE, black</t>
  </si>
  <si>
    <t>https://www.reichelt.de/de/de/shop/produkt/spiralschlauch_6_mm_schwarz_10_m-424800?PROVID=2788&amp;gad_source=1&amp;gad_campaignid=1622074784&amp;gbraid=0AAAAADwnxtZVwEUtxcH9qsXPmzEmaCqB1&amp;gclid=CjwKCAjw2rrQBhBuEiwAarLWHbZDbIinLgIF4JF_XHySM_D9PM2tzuGRb6Mi8T9miM0nqm1BKqsCXxoCL98QAvD_BwE</t>
  </si>
  <si>
    <t>Bundle power cables neatly</t>
  </si>
  <si>
    <t>SUBTOTAL B — Connection Materials</t>
  </si>
  <si>
    <t>C — MECHANICAL &amp; MOUNTING HARDWARE</t>
  </si>
  <si>
    <t xml:space="preserve">  C.1 — Board &amp; Fasteners</t>
  </si>
  <si>
    <t>BD1</t>
  </si>
  <si>
    <t>Plywood board 400×300×12mm</t>
  </si>
  <si>
    <t>Birch plywood, sanded</t>
  </si>
  <si>
    <t>Main assembly board</t>
  </si>
  <si>
    <t>BD2</t>
  </si>
  <si>
    <t>M3 brass standoff set (F-F 10mm)</t>
  </si>
  <si>
    <t>10 pcs + M3×6 screws + washers</t>
  </si>
  <si>
    <t>https://www.reichelt.de/de/de/shop/produkt/arduino_-_abstandshalter-sortiment_m3_0-223624?PROVID=2788&amp;gad_source=1&amp;gad_campaignid=18342381572&amp;gbraid=0AAAAADwnxtadOizS2oR6WA-Hja3EIajuK&amp;gclid=CjwKCAjw2rrQBhBuEiwAarLWHROmaAm0UD17wgxe8P2EiI3xs9MFkYhk-34ik_tK6d4_GcpC4adc8RoCFyQQAvD_BwE</t>
  </si>
  <si>
    <t>PCB mounting to board</t>
  </si>
  <si>
    <t>BD3</t>
  </si>
  <si>
    <t>M4 × 16mm wood screws + washers</t>
  </si>
  <si>
    <t>10 pcs</t>
  </si>
  <si>
    <t>https://www.reichelt.de/de/de/shop/produkt/pan_head_schrauben_kreuzschlitz_pzd_m4_16mm_50_stueck-65757?PROVID=2788&amp;gad_source=1&amp;gad_campaignid=18347782207&amp;gbraid=0AAAAADwnxtYFSeRAKeDBBSUE20KPaiavn&amp;gclid=CjwKCAjw2rrQBhBuEiwAarLWHefJvikKC7o666ot5_Dh7AIWACaDJOzfcQ0uDe0A-RArJcGcTCVOexoCblEQAvD_BwE</t>
  </si>
  <si>
    <t>Corner mounting / board feet</t>
  </si>
  <si>
    <t>BD4</t>
  </si>
  <si>
    <t>M3 × 16mm wood screws + washers</t>
  </si>
  <si>
    <t>https://www.reichelt.de/de/de/shop/produkt/pan_head_schrauben_kreuzschlitz_pzd_m3_16mm_50_stueck-65754?PROVID=2788&amp;gad_source=1&amp;gad_campaignid=1622074784&amp;gbraid=0AAAAADwnxtZVwEUtxcH9qsXPmzEmaCqB1&amp;gclid=CjwKCAjw2rrQBhBuEiwAarLWHdvC01KsoPNxLd2qeRuZxOxtQDq-J4fDM8TAP85CENHY-PR394hDSBoCyswQAvD_BwE</t>
  </si>
  <si>
    <t>PCB standoffs to wood</t>
  </si>
  <si>
    <t>bitte nicht beachten, außer die Box ist zu teuer</t>
  </si>
  <si>
    <t>M3 Abstandshalter</t>
  </si>
  <si>
    <t>https://www.ebay.de/itm/198316043017?_ul=DE&amp;mkevt=1&amp;mkcid=1&amp;mkrid=707-53477-19255-0&amp;campid=5338588705&amp;toolid=20006&amp;customid=CjwKCAjw2rrQBhBuEiwAarLWHWr15tvUadt-K9t5pA-fh9ajyrVopPoK4IUNBfWgoErwI6EnRZgQgRoCqxcQAvD_BwE%7C0AAAAADANKJnpe_L1A9pnFzwlU1WAYP6OR%7Cnull&amp;gclid=CjwKCAjw2rrQBhBuEiwAarLWHWr15tvUadt-K9t5pA-fh9ajyrVopPoK4IUNBfWgoErwI6EnRZgQgRoCqxcQAvD_BwE&amp;gbraid=0AAAAADANKJnpe_L1A9pnFzwlU1WAYP6OR&amp;loc_physical_ms=9042957&amp;adtype=pla</t>
  </si>
  <si>
    <t>M3 Spacer, etc.</t>
  </si>
  <si>
    <t>680Stk M3 Abstandshalter Hex Distanzhülsen PCB Standoff Schraube Mutter Spacer Abstandsbolzen für Platine Raspberry Pi Mainboard PCB Board,M3 Messing Männlich Weiblich Sechskantschrauben Mutter</t>
  </si>
  <si>
    <t>https://www.amazon.de/Abstandshalter-Distanzh%C3%BClsen-Abstandsbolzen-Raspberry-Sechskantschrauben/dp/B0D47H53ZF/ref=asc_df_B0D47H53ZF?mcid=077596b74f6b3ac58b020cf81c3c71b2&amp;th=1&amp;psc=1&amp;tag=googshopde-21&amp;linkCode=df0&amp;hvadid=703194640298&amp;hvpos=&amp;hvnetw=g&amp;hvrand=16948142916368921407&amp;hvpone=&amp;hvptwo=&amp;hvqmt=&amp;hvdev=c&amp;hvdvcmdl=&amp;hvlocint=&amp;hvlocphy=9042957&amp;hvtargid=pla-2320338397382&amp;psc=1&amp;hvocijid=16948142916368921407-B0D47H53ZF-&amp;hvexpln=0</t>
  </si>
  <si>
    <t>BD5</t>
  </si>
  <si>
    <t>Rubber feet (self-adhesive)</t>
  </si>
  <si>
    <t>Ø15mm, 5mm height</t>
  </si>
  <si>
    <t>https://www.reichelt.de/de/de/shop/produkt/klebefuesse_20_6_mm_5_mm_schwarz_6er-pack-53677?PROVID=2788&amp;gad_source=1&amp;gad_campaignid=21154720511&amp;gbraid=0AAAAADwnxtZxntLwOl5x7QGFxJzUGhlSL&amp;gclid=CjwKCAjw2rrQBhBuEiwAarLWHfDLsI3xiWWBtksXQVvplNjBPAAGDcn_2YJazJjGmFKuZs3bVRB5WhoCBKoQAvD_BwE</t>
  </si>
  <si>
    <t>Anti-slip for board underside</t>
  </si>
  <si>
    <t xml:space="preserve">  C.2 — Switches &amp; Buttons (Panel-Mount)</t>
  </si>
  <si>
    <t>SW1</t>
  </si>
  <si>
    <t>Main toggle switch 16A 250V</t>
  </si>
  <si>
    <t>SPST latching, panel-mount</t>
  </si>
  <si>
    <t>https://www.reichelt.de/de/de/shop/produkt/kippschalter_16_4_a-250vac_1x_aus-ein-105728?PROVID=2788&amp;gad_source=1&amp;gad_campaignid=21154720511&amp;gbraid=0AAAAADwnxtZxntLwOl5x7QGFxJzUGhlSL&amp;gclid=CjwKCAjw2rrQBhBuEiwAarLWHQr34i9f_MH77FzOxzdAMkfl-zXTa-H78viN5su13V16FwvIKTMIhhoCAUAQAvD_BwE</t>
  </si>
  <si>
    <t>Main power disconnect</t>
  </si>
  <si>
    <t>SW2–SW5</t>
  </si>
  <si>
    <t>Push button 12mm momentary (4 colors)</t>
  </si>
  <si>
    <t>PBS-33B or similar, panel-mount</t>
  </si>
  <si>
    <t>https://www.amazon.de/OTOTEC-Montage-Wasserdicht-Momentary-PBS-33B/dp/B0F37PFFNG</t>
  </si>
  <si>
    <t>START / STOP / SPEED+ / SPEED−</t>
  </si>
  <si>
    <t xml:space="preserve">  C.3 — Thermal Management</t>
  </si>
  <si>
    <t>HS1</t>
  </si>
  <si>
    <t>Heatsink for IRFZ44N (TO-220)</t>
  </si>
  <si>
    <t>Fischer SK 129 38.1mm</t>
  </si>
  <si>
    <t>https://www.reichelt.de/de/de/shop/produkt/kuehlkoerper_38_1_mm_alu_6_5_k_w_sot-32_to-220_to-3p-228064?PROVID=2788&amp;gad_source=1&amp;gad_campaignid=21154720511&amp;gbraid=0AAAAADwnxtZxntLwOl5x7QGFxJzUGhlSL&amp;gclid=CjwKCAjw2rrQBhBuEiwAarLWHTxOlRIrWUdYTIg-rTqvSMlBOWF6Zt80uuaFzbpnCLp-n9uV8FKq5BoCGs4QAvD_BwE</t>
  </si>
  <si>
    <t>MOSFET cooling</t>
  </si>
  <si>
    <t>HS2</t>
  </si>
  <si>
    <t>Heatsink for L7812 (TO-220)</t>
  </si>
  <si>
    <t>Fischer SK 104 38.1mm</t>
  </si>
  <si>
    <t>https://www.reichelt.de/de/de/shop/produkt/kuehlkoerper_38_1_mm_alu_11_k_w_sot-32_to-220-228946?PROVID=2788&amp;gad_source=1&amp;gad_campaignid=1622074784&amp;gbraid=0AAAAADwnxtZVwEUtxcH9qsXPmzEmaCqB1&amp;gclid=CjwKCAjw2rrQBhBuEiwAarLWHauNirspAQTh6V-s-BTaixrJOhRHMqY_EgWr5u01dryUcZsg-T_L5RoCZa0QAvD_BwE</t>
  </si>
  <si>
    <t>0.6W dissipation — margin</t>
  </si>
  <si>
    <t>HS3</t>
  </si>
  <si>
    <t>Thermal grease Arctic MX-4 4g</t>
  </si>
  <si>
    <t>Thermal conductivity 8.5W/mK</t>
  </si>
  <si>
    <t>https://www.amazon.de/-/en/ARCTIC-MX-4-conductivity-non-conductive-non-capacitive/dp/B07L9BDY3T</t>
  </si>
  <si>
    <t>MOSFET + regulator interface</t>
  </si>
  <si>
    <t xml:space="preserve">  C.4 — LED Panel Holders</t>
  </si>
  <si>
    <t>LH1</t>
  </si>
  <si>
    <t>5mm LED panel mount holder (chrome bezel)</t>
  </si>
  <si>
    <t>Snap-in, for D2/D6/D7/D8</t>
  </si>
  <si>
    <t>https://www.reichelt.com/de/en/shop/product/led_holder_for_5_mm_leds_chrome_black-232296</t>
  </si>
  <si>
    <t>Clean LED mounting in top zone</t>
  </si>
  <si>
    <t>SUBTOTAL C — Mechanical &amp; Mounting</t>
  </si>
  <si>
    <t>DC MOTOR</t>
  </si>
  <si>
    <t>M1</t>
  </si>
  <si>
    <t>MY1016 24V 250W brushed DC motor</t>
  </si>
  <si>
    <t>Ø~65mm, 3000 RPM, 13.7A rated</t>
  </si>
  <si>
    <t>Main drive motor</t>
  </si>
  <si>
    <t>M2</t>
  </si>
  <si>
    <t>Motor mounting bracket / L-bracket</t>
  </si>
  <si>
    <t>Steel, 2× M6 holes</t>
  </si>
  <si>
    <t>https://www.amazon.de/-/en/TuToy-Motor-L-shaped-Bracket-Support/dp/B0828NPDH6</t>
  </si>
  <si>
    <t>Secure motor to board</t>
  </si>
  <si>
    <t>M3</t>
  </si>
  <si>
    <t>100nF 100V ceramic disc cap</t>
  </si>
  <si>
    <t>Solder to motor brush tabs</t>
  </si>
  <si>
    <t>https://www.reichelt.com/de/en/shop/product/ceramic_capacitor_100_nf_-20_80_y5v_50_100_v_rm_5-9265</t>
  </si>
  <si>
    <t>Brush noise suppression (critical!)</t>
  </si>
  <si>
    <t>SUBTOTAL D — Motor</t>
  </si>
  <si>
    <t>PCB FABRICATION</t>
  </si>
  <si>
    <t>PCB1</t>
  </si>
  <si>
    <t>PCB fabrication 5 pcs (400×300mm 2-layer)</t>
  </si>
  <si>
    <t>1.6mm FR4, HASL-LF, 2oz Cu</t>
  </si>
  <si>
    <t>Includes DHL shipping to DE</t>
  </si>
  <si>
    <t>SUBTOTAL E — PCB Fabrication</t>
  </si>
  <si>
    <t>GRAND TOTAL (A + B + C + D + E)</t>
  </si>
  <si>
    <t>BUDGET ALLOCATED</t>
  </si>
  <si>
    <t>SAVINGS (Budget −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</si>
</sst>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.00"/>
    <numFmt numFmtId="165" formatCode="d\.m"/>
  </numFmts>
  <fonts count="18">
    <font>
      <sz val="11"/>
      <color theme="1"/>
      <name val="Calibri"/>
      <scheme val="minor"/>
    </font>
    <font>
      <b/>
      <sz val="14"/>
      <color theme="1"/>
      <name val="Arial"/>
    </font>
    <font>
      <sz val="10"/>
      <color theme="1"/>
      <name val="Arial"/>
    </font>
    <font>
      <sz val="9"/>
      <color rgb="FF808080"/>
      <name val="Arial"/>
    </font>
    <font>
      <b/>
      <sz val="10"/>
      <color theme="1"/>
      <name val="Arial"/>
    </font>
    <font>
      <sz val="11"/>
      <name val="Calibri"/>
    </font>
    <font>
      <sz val="9"/>
      <color theme="1"/>
      <name val="Arial"/>
    </font>
    <font>
      <u/>
      <sz val="9"/>
      <color rgb="FF0000FF"/>
      <name val="Arial"/>
    </font>
    <font>
      <sz val="9"/>
      <color rgb="FF000000"/>
      <name val="Arial"/>
    </font>
    <font>
      <u/>
      <sz val="11"/>
      <color rgb="FF0000FF"/>
      <name val="Calibri"/>
      <scheme val="minor"/>
    </font>
    <font>
      <sz val="11"/>
      <color theme="1"/>
      <name val="Calibri"/>
      <scheme val="minor"/>
    </font>
    <font>
      <sz val="9"/>
      <color rgb="FF1F1F1F"/>
      <name val="Arial"/>
    </font>
    <font>
      <b/>
      <sz val="9"/>
      <color theme="1"/>
      <name val="Arial"/>
    </font>
    <font>
      <sz val="11"/>
      <color theme="1"/>
      <name val="Calibri"/>
    </font>
    <font>
      <b/>
      <sz val="11"/>
      <color theme="1"/>
      <name val="Arial"/>
    </font>
    <font>
      <b/>
      <sz val="11"/>
      <color rgb="FF006100"/>
      <name val="Arial"/>
    </font>
    <font>
      <sz val="9"/>
      <name val="Arial"/>
    </font>
    <font>
      <u/>
      <sz val="9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1" xfId="0" applyFont="1" applyBorder="1" applyAlignment="1">
      <alignment vertical="center" wrapText="1"/>
    </xf>
    <xf numFmtId="0" fontId="13" fillId="0" borderId="1" xfId="0" applyFont="1" applyBorder="1"/>
    <xf numFmtId="164" fontId="12" fillId="3" borderId="1" xfId="0" applyNumberFormat="1" applyFont="1" applyFill="1" applyBorder="1"/>
    <xf numFmtId="0" fontId="6" fillId="0" borderId="1" xfId="0" applyFont="1" applyBorder="1"/>
    <xf numFmtId="0" fontId="6" fillId="5" borderId="1" xfId="0" applyFont="1" applyFill="1" applyBorder="1" applyAlignment="1">
      <alignment vertical="center" wrapText="1"/>
    </xf>
    <xf numFmtId="164" fontId="6" fillId="5" borderId="1" xfId="0" applyNumberFormat="1" applyFont="1" applyFill="1" applyBorder="1" applyAlignment="1">
      <alignment vertical="center" wrapText="1"/>
    </xf>
    <xf numFmtId="0" fontId="13" fillId="3" borderId="8" xfId="0" applyFont="1" applyFill="1" applyBorder="1"/>
    <xf numFmtId="164" fontId="14" fillId="3" borderId="8" xfId="0" applyNumberFormat="1" applyFont="1" applyFill="1" applyBorder="1"/>
    <xf numFmtId="164" fontId="12" fillId="0" borderId="0" xfId="0" applyNumberFormat="1" applyFont="1"/>
    <xf numFmtId="164" fontId="15" fillId="0" borderId="0" xfId="0" applyNumberFormat="1" applyFont="1"/>
    <xf numFmtId="0" fontId="1" fillId="2" borderId="0" xfId="0" applyFont="1" applyFill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4" fillId="3" borderId="2" xfId="0" applyFont="1" applyFill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4" fillId="4" borderId="2" xfId="0" applyFont="1" applyFill="1" applyBorder="1" applyAlignment="1"/>
    <xf numFmtId="0" fontId="12" fillId="3" borderId="2" xfId="0" applyFont="1" applyFill="1" applyBorder="1" applyAlignment="1"/>
    <xf numFmtId="0" fontId="7" fillId="5" borderId="1" xfId="0" applyFont="1" applyFill="1" applyBorder="1" applyAlignment="1">
      <alignment vertical="center" wrapText="1"/>
    </xf>
    <xf numFmtId="0" fontId="14" fillId="3" borderId="5" xfId="0" applyFont="1" applyFill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12" fillId="0" borderId="0" xfId="0" applyFont="1" applyAlignment="1"/>
    <xf numFmtId="0" fontId="1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eichelt.de/de/de/shop/produkt/smd-kerko_1206_100_nf_50v_10_x7r_mlcc-346850?utm_source=chatgpt.com" TargetMode="External"/><Relationship Id="rId18" Type="http://schemas.openxmlformats.org/officeDocument/2006/relationships/hyperlink" Target="https://www.reichelt.de/de/de/shop/produkt/smd-widerstand_0805_10_ohm_125_mw_5_-250225?PROVID=2788&amp;gad_source=1&amp;gad_campaignid=1622074784&amp;gbraid=0AAAAADwnxtZVwEUtxcH9qsXPmzEmaCqB1&amp;gclid=CjwKCAjw2rrQBhBuEiwAarLWHVRJty6ums8om2Y-0LmmKa9YYWnWzfRy-KifM2XnQMXF48RRqeKupBoCmpMQAvD_BwE" TargetMode="External"/><Relationship Id="rId26" Type="http://schemas.openxmlformats.org/officeDocument/2006/relationships/hyperlink" Target="https://www.reichelt.de/de/de/shop/produkt/led_smd_1206_gelb_150_mcd_120_-361548?utm_source=chatgpt.com" TargetMode="External"/><Relationship Id="rId39" Type="http://schemas.openxmlformats.org/officeDocument/2006/relationships/hyperlink" Target="https://www.reichelt.de/de/de/shop/produkt/lautsprecherkabel_2x1_5_mm_10_m_rot_schwarz_cca-364143?PROVID=2788&amp;gad_source=1&amp;gad_campaignid=21154720511&amp;gbraid=0AAAAADwnxtZxntLwOl5x7QGFxJzUGhlSL&amp;gclid=CjwKCAjw2rrQBhBuEiwAarLWHXApFjh7KpiBuPkezMHXcPrW-RL1itYW7V_IVsXTnVFdgI0uK8eMhxoCZsIQAvD_BwE" TargetMode="External"/><Relationship Id="rId21" Type="http://schemas.openxmlformats.org/officeDocument/2006/relationships/hyperlink" Target="https://www.reichelt.de/de/de/shop/produkt/smd-widerstand_1206_15_kohm_250_mw_1_-346648?utm_source=chatgpt.com" TargetMode="External"/><Relationship Id="rId34" Type="http://schemas.openxmlformats.org/officeDocument/2006/relationships/hyperlink" Target="https://www.reichelt.de/de/de/shop/produkt/sicherungshalter_fuer_5_x_20_mm_250_v_6_3_a-243307?PROVID=2788&amp;gad_source=1&amp;gad_campaignid=21157097500&amp;gbraid=0AAAAADwnxtYK8ESSZT_cBLsiNA0JQ5dYh&amp;gclid=CjwKCAjw2rrQBhBuEiwAarLWHQZvM6087P-2synn1QjU6BWkV-T8y0t1HarzQuGCUFmFz0nJkWlTKBoCOF4QAvD_BwE" TargetMode="External"/><Relationship Id="rId42" Type="http://schemas.openxmlformats.org/officeDocument/2006/relationships/hyperlink" Target="https://www.amazon.de/MSCHENZW-Verbinder-2-Poliger-Schrauben-Anschluss/dp/B0D7CLRNP4?source=ps-sl-shoppingads-lpcontext&amp;ref_=fplfs&amp;psc=1&amp;smid=AIF6OJSKBEBAS" TargetMode="External"/><Relationship Id="rId47" Type="http://schemas.openxmlformats.org/officeDocument/2006/relationships/hyperlink" Target="https://www.reichelt.de/de/de/shop/produkt/kabelbinder_uv-bestaendig_100_mm_schwarz_100er-pack-24764?PROVID=2788&amp;gad_source=1&amp;gad_campaignid=21157097500&amp;gbraid=0AAAAADwnxtYK8ESSZT_cBLsiNA0JQ5dYh&amp;gclid=CjwKCAjw2rrQBhBuEiwAarLWHV-gIiEYswlb0jkqUGn0DFPyOLATb0nzPzNFRPOIHFIQTA71gSjTmxoCAbAQAvD_BwE" TargetMode="External"/><Relationship Id="rId50" Type="http://schemas.openxmlformats.org/officeDocument/2006/relationships/hyperlink" Target="https://www.reichelt.de/de/de/shop/produkt/arduino_-_abstandshalter-sortiment_m3_0-223624?PROVID=2788&amp;gad_source=1&amp;gad_campaignid=18342381572&amp;gbraid=0AAAAADwnxtadOizS2oR6WA-Hja3EIajuK&amp;gclid=CjwKCAjw2rrQBhBuEiwAarLWHROmaAm0UD17wgxe8P2EiI3xs9MFkYhk-34ik_tK6d4_GcpC4adc8RoCFyQQAvD_BwE" TargetMode="External"/><Relationship Id="rId55" Type="http://schemas.openxmlformats.org/officeDocument/2006/relationships/hyperlink" Target="https://www.reichelt.de/de/de/shop/produkt/klebefuesse_20_6_mm_5_mm_schwarz_6er-pack-53677?PROVID=2788&amp;gad_source=1&amp;gad_campaignid=21154720511&amp;gbraid=0AAAAADwnxtZxntLwOl5x7QGFxJzUGhlSL&amp;gclid=CjwKCAjw2rrQBhBuEiwAarLWHfDLsI3xiWWBtksXQVvplNjBPAAGDcn_2YJazJjGmFKuZs3bVRB5WhoCBKoQAvD_BwE" TargetMode="External"/><Relationship Id="rId63" Type="http://schemas.openxmlformats.org/officeDocument/2006/relationships/hyperlink" Target="https://www.reichelt.com/de/en/shop/product/ceramic_capacitor_100_nf_-20_80_y5v_50_100_v_rm_5-9265" TargetMode="External"/><Relationship Id="rId7" Type="http://schemas.openxmlformats.org/officeDocument/2006/relationships/hyperlink" Target="https://www.reichelt.de/de/de/shop/produkt/kuehlkoerper_13_mm_kupfer_22_8_k_w_powerso-10_so-14_so-16_so-8-228050" TargetMode="External"/><Relationship Id="rId2" Type="http://schemas.openxmlformats.org/officeDocument/2006/relationships/hyperlink" Target="https://www.reichelt.de/de/de/shop/produkt/smd-schottky_45v_20a_2x10_d_pak-378115?PROVID=2788&amp;gad_source=1&amp;gad_campaignid=18337673922&amp;gbraid=0AAAAADwnxtbmPJRG6UC7a5akwmLQKmMvO&amp;gclid=CjwKCAjw2rrQBhBuEiwAarLWHaVFF034H-zoSJwZ9zOjY1MRhFhYVPkCT6kZDJQVQJHoMbZezWTmRBoC-3wQAvD_BwE" TargetMode="External"/><Relationship Id="rId16" Type="http://schemas.openxmlformats.org/officeDocument/2006/relationships/hyperlink" Target="https://www.reichelt.de/de/de/shop/produkt/mlcc_1206_1_f_100_v_-10_x7r-409216?utm_source=chatgpt.com" TargetMode="External"/><Relationship Id="rId29" Type="http://schemas.openxmlformats.org/officeDocument/2006/relationships/hyperlink" Target="https://www.reichelt.de/de/de/shop/produkt/leiterplattenklemme_2_polig_rm_5_08_mm-276156" TargetMode="External"/><Relationship Id="rId11" Type="http://schemas.openxmlformats.org/officeDocument/2006/relationships/hyperlink" Target="https://www.reichelt.de/de/de/shop/produkt/operationsverstaerker_2-fach_dip-8-10483?PROVID=2788&amp;gad_source=1&amp;gad_campaignid=1622074784&amp;gbraid=0AAAAADwnxtZVwEUtxcH9qsXPmzEmaCqB1&amp;gclid=CjwKCAjw2rrQBhBuEiwAarLWHeZyHElPIOgPGyeDj-3keFrpWXHk5KGKCqcWFhic373XGRXBez1OaBoCAiAQAvD_BwE" TargetMode="External"/><Relationship Id="rId24" Type="http://schemas.openxmlformats.org/officeDocument/2006/relationships/hyperlink" Target="https://www.reichelt.de/de/de/shop/produkt/smd-led_1206_super-gelb-gruen_algainp_29_mcd_60_3_0_x_1_5mm-231610?utm_source=chatgpt.com" TargetMode="External"/><Relationship Id="rId32" Type="http://schemas.openxmlformats.org/officeDocument/2006/relationships/hyperlink" Target="https://www.reichelt.de/de/de/shop/produkt/stiftleisten_2_54_mm_2x03_gerade-119893" TargetMode="External"/><Relationship Id="rId37" Type="http://schemas.openxmlformats.org/officeDocument/2006/relationships/hyperlink" Target="https://www.reichelt.de/de/de/shop/produkt/entwicklerboards_-_display_0_96_oled-display_ssd1306-266107" TargetMode="External"/><Relationship Id="rId40" Type="http://schemas.openxmlformats.org/officeDocument/2006/relationships/hyperlink" Target="https://www.reichelt.de/de/de/shop/produkt/steckverbinder_fuer_li-polymer-akkus_2-polig_xt60_mit_kappe-342796?PROVID=2788&amp;gad_source=1&amp;gad_campaignid=18336599199&amp;gbraid=0AAAAADwnxtYYRYc_cZwyG-95-7mEb_8KE&amp;gclid=CjwKCAjw2rrQBhBuEiwAarLWHXbAaCbAEx7IwWlSM3Z4-_cQGQE_rtLV2-lx7vIYISLXqIER9RtmhBoCJ8AQAvD_BwE" TargetMode="External"/><Relationship Id="rId45" Type="http://schemas.openxmlformats.org/officeDocument/2006/relationships/hyperlink" Target="https://www.reichelt.de/de/de/shop/produkt/schrumpfschlauch-sortiment_2_1_10cm_100st_-149031?PROVID=2788&amp;gad_source=1&amp;gad_campaignid=21157097500&amp;gbraid=0AAAAADwnxtYK8ESSZT_cBLsiNA0JQ5dYh&amp;gclid=CjwKCAjw2rrQBhBuEiwAarLWHXzwB8nOd6jiePjZaGx5Cu4UWzSJQR-fxixxMzz06t3Kzb44IohtQRoCI9UQAvD_BwE" TargetMode="External"/><Relationship Id="rId53" Type="http://schemas.openxmlformats.org/officeDocument/2006/relationships/hyperlink" Target="https://www.ebay.de/itm/198316043017?_ul=DE&amp;mkevt=1&amp;mkcid=1&amp;mkrid=707-53477-19255-0&amp;campid=5338588705&amp;toolid=20006&amp;customid=CjwKCAjw2rrQBhBuEiwAarLWHWr15tvUadt-K9t5pA-fh9ajyrVopPoK4IUNBfWgoErwI6EnRZgQgRoCqxcQAvD_BwE%7C0AAAAADANKJnpe_L1A9pnFzwlU1WAYP6OR%7Cnull&amp;gclid=CjwKCAjw2rrQBhBuEiwAarLWHWr15tvUadt-K9t5pA-fh9ajyrVopPoK4IUNBfWgoErwI6EnRZgQgRoCqxcQAvD_BwE&amp;gbraid=0AAAAADANKJnpe_L1A9pnFzwlU1WAYP6OR&amp;loc_physical_ms=9042957&amp;adtype=pla" TargetMode="External"/><Relationship Id="rId58" Type="http://schemas.openxmlformats.org/officeDocument/2006/relationships/hyperlink" Target="https://www.reichelt.de/de/de/shop/produkt/kuehlkoerper_38_1_mm_alu_6_5_k_w_sot-32_to-220_to-3p-228064?PROVID=2788&amp;gad_source=1&amp;gad_campaignid=21154720511&amp;gbraid=0AAAAADwnxtZxntLwOl5x7QGFxJzUGhlSL&amp;gclid=CjwKCAjw2rrQBhBuEiwAarLWHTxOlRIrWUdYTIg-rTqvSMlBOWF6Zt80uuaFzbpnCLp-n9uV8FKq5BoCGs4QAvD_BwE" TargetMode="External"/><Relationship Id="rId5" Type="http://schemas.openxmlformats.org/officeDocument/2006/relationships/hyperlink" Target="https://www.reichelt.com/ie/en/shop/product/smd_si_all-purpose_diodes_sod323f_100_v_0_25_a-95203?utm_source=chatgpt.com&amp;utm_medium=&amp;utm_campaign=&amp;track_id=&amp;country=ie&amp;CCTYPE=private&amp;LANGUAGE=en" TargetMode="External"/><Relationship Id="rId61" Type="http://schemas.openxmlformats.org/officeDocument/2006/relationships/hyperlink" Target="https://www.reichelt.com/de/en/shop/product/led_holder_for_5_mm_leds_chrome_black-232296" TargetMode="External"/><Relationship Id="rId19" Type="http://schemas.openxmlformats.org/officeDocument/2006/relationships/hyperlink" Target="https://www.reichelt.de/de/de/shop/produkt/smd-widerstand_1206_10_kohm_250_mw_1_-346640?PROVID=2788&amp;gad_source=1&amp;gad_campaignid=1622074784&amp;gbraid=0AAAAADwnxtZVwEUtxcH9qsXPmzEmaCqB1&amp;gclid=CjwKCAjw2rrQBhBuEiwAarLWHXVfv1gI4oBKKhn4cunktD6T3cQqxUgIyKnMMSAHwyV3oQSA4ebxFBoC80EQAvD_BwE" TargetMode="External"/><Relationship Id="rId14" Type="http://schemas.openxmlformats.org/officeDocument/2006/relationships/hyperlink" Target="https://www.reichelt.de/de/de/shop/produkt/smd-kerko_1206_330_nf_50v_10_x7r_mlcc-346856?utm_source=chatgpt.com" TargetMode="External"/><Relationship Id="rId22" Type="http://schemas.openxmlformats.org/officeDocument/2006/relationships/hyperlink" Target="https://www.reichelt.de/de/de/shop/produkt/smd-widerstand_1206_100_ohm_250_mw_1_-238101?utm_source=chatgpt.com" TargetMode="External"/><Relationship Id="rId27" Type="http://schemas.openxmlformats.org/officeDocument/2006/relationships/hyperlink" Target="https://www.reichelt.de/de/de/shop/produkt/leiterplattenklemme_2_polig_rm_5_08_mm-276156" TargetMode="External"/><Relationship Id="rId30" Type="http://schemas.openxmlformats.org/officeDocument/2006/relationships/hyperlink" Target="https://www.reichelt.de/de/de/shop/produkt/stiftleisten_2_54_mm_1x02_gerade-119879" TargetMode="External"/><Relationship Id="rId35" Type="http://schemas.openxmlformats.org/officeDocument/2006/relationships/hyperlink" Target="https://www.amazon.de/QWORK%C2%AE-12AWG-Silikon-Elektronik-Kabel/dp/B0C9MBMM76/ref=asc_df_B0C9MBMM76?mcid=7f4c1dfa28783ea8ac78575c5a2f7dce&amp;th=1&amp;tag=googshopde-21&amp;linkCode=df0&amp;hvadid=696932186053&amp;hvpos=&amp;hvnetw=g&amp;hvrand=18379252189547176377&amp;hvpone=&amp;hvptwo=&amp;hvqmt=&amp;hvdev=c&amp;hvdvcmdl=&amp;hvlocint=&amp;hvlocphy=9043008&amp;hvtargid=pla-2247178282318&amp;hvocijid=18379252189547176377-B0C9MBMM76-&amp;hvexpln=0" TargetMode="External"/><Relationship Id="rId43" Type="http://schemas.openxmlformats.org/officeDocument/2006/relationships/hyperlink" Target="https://www.reichelt.de/de/de/shop/produkt/leiterplattenklemme_2_polig_rm_5_08_mm-276156?utm_source=chatgpt.com" TargetMode="External"/><Relationship Id="rId48" Type="http://schemas.openxmlformats.org/officeDocument/2006/relationships/hyperlink" Target="https://www.reichelt.de/de/de/shop/produkt/kabelhalter_selbstkleb_verstellbar_16_5-20_1_sw-114110?PROVID=2788&amp;gad_source=1&amp;gad_campaignid=21157097500&amp;gbraid=0AAAAADwnxtYK8ESSZT_cBLsiNA0JQ5dYh&amp;gclid=CjwKCAjw2rrQBhBuEiwAarLWHSQRZwhz0ZqIelTNG1b9doNGEqEFRBlDG04_ZP5_LUWaOq5cenvX-hoCmiMQAvD_BwE" TargetMode="External"/><Relationship Id="rId56" Type="http://schemas.openxmlformats.org/officeDocument/2006/relationships/hyperlink" Target="https://www.reichelt.de/de/de/shop/produkt/kippschalter_16_4_a-250vac_1x_aus-ein-105728?PROVID=2788&amp;gad_source=1&amp;gad_campaignid=21154720511&amp;gbraid=0AAAAADwnxtZxntLwOl5x7QGFxJzUGhlSL&amp;gclid=CjwKCAjw2rrQBhBuEiwAarLWHQr34i9f_MH77FzOxzdAMkfl-zXTa-H78viN5su13V16FwvIKTMIhhoCAUAQAvD_BwE" TargetMode="External"/><Relationship Id="rId8" Type="http://schemas.openxmlformats.org/officeDocument/2006/relationships/hyperlink" Target="https://www.reichelt.de/de/de/shop/produkt/spannungsregler_fest_12_v_1_5a_4_to-220-216569?PROVID=2788&amp;gad_source=1&amp;gad_campaignid=1622074784&amp;gbraid=0AAAAADwnxtZVwEUtxcH9qsXPmzEmaCqB1&amp;gclid=CjwKCAjw2rrQBhBuEiwAarLWHVHgrq79MLQDtMu-K_gZenh1_piOjXXRA9mNjuo2Mz1Y0s2lj-ELpBoCJMsQAvD_BwE" TargetMode="External"/><Relationship Id="rId51" Type="http://schemas.openxmlformats.org/officeDocument/2006/relationships/hyperlink" Target="https://www.reichelt.de/de/de/shop/produkt/pan_head_schrauben_kreuzschlitz_pzd_m4_16mm_50_stueck-65757?PROVID=2788&amp;gad_source=1&amp;gad_campaignid=18347782207&amp;gbraid=0AAAAADwnxtYFSeRAKeDBBSUE20KPaiavn&amp;gclid=CjwKCAjw2rrQBhBuEiwAarLWHefJvikKC7o666ot5_Dh7AIWACaDJOzfcQ0uDe0A-RArJcGcTCVOexoCblEQAvD_BwE" TargetMode="External"/><Relationship Id="rId3" Type="http://schemas.openxmlformats.org/officeDocument/2006/relationships/hyperlink" Target="https://www.reichelt.de/de/de/shop/produkt/kfz-sicherung_ato_15_a_blau-242164?PROVID=2788&amp;gad_source=1&amp;gad_campaignid=1622074784&amp;gbraid=0AAAAADwnxtZVwEUtxcH9qsXPmzEmaCqB1&amp;gclid=CjwKCAjw2rrQBhBuEiwAarLWHZHtDVuy9sdrG0cPlRmaC98-AHjnOWihCKYeyBkjy6sPSFNGsc7ulxoC4WMQAvD_BwE" TargetMode="External"/><Relationship Id="rId12" Type="http://schemas.openxmlformats.org/officeDocument/2006/relationships/hyperlink" Target="https://www.reichelt.de/de/de/shop/produkt/elko-polymere_hybrid_smd_100_f_50_v_145_c_10_0_x_10_2_mm-228600" TargetMode="External"/><Relationship Id="rId17" Type="http://schemas.openxmlformats.org/officeDocument/2006/relationships/hyperlink" Target="https://www.reichelt.de/de/de/shop/produkt/smd-widerstand_0603_93_1_kohm_100_mw_1_-213152?PROVID=2788&amp;gad_source=1&amp;gad_campaignid=1622074784&amp;gbraid=0AAAAADwnxtZVwEUtxcH9qsXPmzEmaCqB1&amp;gclid=CjwKCAjw2rrQBhBuEiwAarLWHaJZ7X1yqsYgTZ07x9TmeAnD4jRpboAMLVVHEXYaW8KD4yFRATSk5RoC36gQAvD_BwE" TargetMode="External"/><Relationship Id="rId25" Type="http://schemas.openxmlformats.org/officeDocument/2006/relationships/hyperlink" Target="https://www.reichelt.de/de/de/shop/produkt/led_smd_1206_rot_180_mcd_60_-231609?utm_source=chatgpt.com" TargetMode="External"/><Relationship Id="rId33" Type="http://schemas.openxmlformats.org/officeDocument/2006/relationships/hyperlink" Target="https://www.reichelt.de/de/de/shop/produkt/buchsenleiste_2_54mm_1x16_gerade-266678" TargetMode="External"/><Relationship Id="rId38" Type="http://schemas.openxmlformats.org/officeDocument/2006/relationships/hyperlink" Target="https://www.amazon.de/Fermerry-Litzendraht-Kupferdrahtspule-10-Elektrokabel-Kit/dp/B09BFPHRZ6/ref=asc_df_B09BFPHRZ6?mcid=43af50cb91803fcea1a1ab991a73aef1&amp;th=1&amp;tag=googshopde-21&amp;linkCode=df0&amp;hvadid=696436075391&amp;hvpos=&amp;hvnetw=g&amp;hvrand=7859857547021379507&amp;hvpone=&amp;hvptwo=&amp;hvqmt=&amp;hvdev=c&amp;hvdvcmdl=&amp;hvlocint=&amp;hvlocphy=9043008&amp;hvtargid=pla-1511792452070&amp;hvocijid=7859857547021379507-B09BFPHRZ6-&amp;hvexpln=0" TargetMode="External"/><Relationship Id="rId46" Type="http://schemas.openxmlformats.org/officeDocument/2006/relationships/hyperlink" Target="https://www.reichelt.de/de/de/shop/produkt/ring-kerbschuhe_fuer_m4_rot-231392?PROVID=2788&amp;gad_source=1&amp;gad_campaignid=21154720511&amp;gbraid=0AAAAADwnxtZxntLwOl5x7QGFxJzUGhlSL&amp;gclid=CjwKCAjw2rrQBhBuEiwAarLWHcb_kic9Aa96CZRk7GiQVnWU6qAyN7q0GJyUq7WNZRLnG5E2gpfICxoCQEoQAvD_BwE" TargetMode="External"/><Relationship Id="rId59" Type="http://schemas.openxmlformats.org/officeDocument/2006/relationships/hyperlink" Target="https://www.reichelt.de/de/de/shop/produkt/kuehlkoerper_38_1_mm_alu_11_k_w_sot-32_to-220-228946?PROVID=2788&amp;gad_source=1&amp;gad_campaignid=1622074784&amp;gbraid=0AAAAADwnxtZVwEUtxcH9qsXPmzEmaCqB1&amp;gclid=CjwKCAjw2rrQBhBuEiwAarLWHauNirspAQTh6V-s-BTaixrJOhRHMqY_EgWr5u01dryUcZsg-T_L5RoCZa0QAvD_BwE" TargetMode="External"/><Relationship Id="rId20" Type="http://schemas.openxmlformats.org/officeDocument/2006/relationships/hyperlink" Target="https://www.reichelt.de/de/de/shop/produkt/drahtwiderstand_axial_4_w_0_01_ohm_5_-233356" TargetMode="External"/><Relationship Id="rId41" Type="http://schemas.openxmlformats.org/officeDocument/2006/relationships/hyperlink" Target="https://www.reichelt.de/de/de/shop/produkt/einbaubuchse_4_mm_faston_rot_gesichert-106130?PROVID=2788&amp;gad_source=1&amp;gad_campaignid=18347782207&amp;gbraid=0AAAAADwnxtYFSeRAKeDBBSUE20KPaiavn&amp;gclid=CjwKCAjw2rrQBhBuEiwAarLWHY73pwFl5dRDsaAAClijMYjWal6mVTbGdfuHuTbVJFpek5vbwab96RoCrJ8QAvD_BwE" TargetMode="External"/><Relationship Id="rId54" Type="http://schemas.openxmlformats.org/officeDocument/2006/relationships/hyperlink" Target="https://www.amazon.de/Abstandshalter-Distanzh%C3%BClsen-Abstandsbolzen-Raspberry-Sechskantschrauben/dp/B0D47H53ZF/ref=asc_df_B0D47H53ZF?mcid=077596b74f6b3ac58b020cf81c3c71b2&amp;th=1&amp;psc=1&amp;tag=googshopde-21&amp;linkCode=df0&amp;hvadid=703194640298&amp;hvpos=&amp;hvnetw=g&amp;hvrand=16948142916368921407&amp;hvpone=&amp;hvptwo=&amp;hvqmt=&amp;hvdev=c&amp;hvdvcmdl=&amp;hvlocint=&amp;hvlocphy=9042957&amp;hvtargid=pla-2320338397382&amp;psc=1&amp;hvocijid=16948142916368921407-B0D47H53ZF-&amp;hvexpln=0" TargetMode="External"/><Relationship Id="rId62" Type="http://schemas.openxmlformats.org/officeDocument/2006/relationships/hyperlink" Target="https://www.amazon.de/-/en/TuToy-Motor-L-shaped-Bracket-Support/dp/B0828NPDH6" TargetMode="External"/><Relationship Id="rId1" Type="http://schemas.openxmlformats.org/officeDocument/2006/relationships/hyperlink" Target="https://www.reichelt.de/de/de/shop/produkt/mosfet_n-ch_55v_49a_0_0175r_d_pak-254808?PROVID=2788&amp;gad_source=1&amp;gad_campaignid=18337673922&amp;gbraid=0AAAAADwnxtbmPJRG6UC7a5akwmLQKmMvO&amp;gclid=CjwKCAjw2rrQBhBuEiwAarLWHfEweO_oYiMXWWt06O_mfQyfrNRu05od7gkVPs2bz2qxWppA0Sr22BoCyiEQAvD_BwE" TargetMode="External"/><Relationship Id="rId6" Type="http://schemas.openxmlformats.org/officeDocument/2006/relationships/hyperlink" Target="https://www.reichelt.de/de/de/shop/produkt/zenerdiode_5_1_v_0_5_w_sod-80-219417?PROVID=2788&amp;gad_source=1&amp;gad_campaignid=1622074784&amp;gbraid=0AAAAADwnxtZVwEUtxcH9qsXPmzEmaCqB1&amp;gclid=CjwKCAjw2rrQBhBuEiwAarLWHVDuG5CFWtV03oBJAS-ROmPsgatdUXbZ1cfZL3rNcmNPYaSqEtJERBoCmasQAvD_BwE" TargetMode="External"/><Relationship Id="rId15" Type="http://schemas.openxmlformats.org/officeDocument/2006/relationships/hyperlink" Target="https://www.reichelt.de/de/de/shop/produkt/mlcc_1206_10uf_50v_x7r_-10_h1_6_mm-429149?utm_source=chatgpt.com" TargetMode="External"/><Relationship Id="rId23" Type="http://schemas.openxmlformats.org/officeDocument/2006/relationships/hyperlink" Target="https://www.reichelt.de/de/de/shop/produkt/smd-widerstand_1206_330_ohm_250_mw_1_-346670?utm_source=chatgpt.com" TargetMode="External"/><Relationship Id="rId28" Type="http://schemas.openxmlformats.org/officeDocument/2006/relationships/hyperlink" Target="https://www.reichelt.de/de/de/shop/produkt/leiterplattenklemme_2_polig_rm_5_08_mm-276156" TargetMode="External"/><Relationship Id="rId36" Type="http://schemas.openxmlformats.org/officeDocument/2006/relationships/hyperlink" Target="https://www.amazon.de/QWORK%C2%AE-12AWG-Silikon-Elektronik-Kabel/dp/B0C9MBMM76/ref=asc_df_B0C9MBMM76?mcid=7f4c1dfa28783ea8ac78575c5a2f7dce&amp;th=1&amp;tag=googshopde-21&amp;linkCode=df0&amp;hvadid=696932186053&amp;hvpos=&amp;hvnetw=g&amp;hvrand=18379252189547176377&amp;hvpone=&amp;hvptwo=&amp;hvqmt=&amp;hvdev=c&amp;hvdvcmdl=&amp;hvlocint=&amp;hvlocphy=9043008&amp;hvtargid=pla-2247178282318&amp;hvocijid=18379252189547176377-B0C9MBMM76-&amp;hvexpln=0" TargetMode="External"/><Relationship Id="rId49" Type="http://schemas.openxmlformats.org/officeDocument/2006/relationships/hyperlink" Target="https://www.reichelt.de/de/de/shop/produkt/spiralschlauch_6_mm_schwarz_10_m-424800?PROVID=2788&amp;gad_source=1&amp;gad_campaignid=1622074784&amp;gbraid=0AAAAADwnxtZVwEUtxcH9qsXPmzEmaCqB1&amp;gclid=CjwKCAjw2rrQBhBuEiwAarLWHbZDbIinLgIF4JF_XHySM_D9PM2tzuGRb6Mi8T9miM0nqm1BKqsCXxoCL98QAvD_BwE" TargetMode="External"/><Relationship Id="rId57" Type="http://schemas.openxmlformats.org/officeDocument/2006/relationships/hyperlink" Target="https://www.amazon.de/OTOTEC-Montage-Wasserdicht-Momentary-PBS-33B/dp/B0F37PFFNG" TargetMode="External"/><Relationship Id="rId10" Type="http://schemas.openxmlformats.org/officeDocument/2006/relationships/hyperlink" Target="https://www.reichelt.de/de/de/shop/produkt/brueckentreiber_halbbruecke_so-8-115928?PROVID=2788&amp;gad_source=1&amp;gad_campaignid=1622074784&amp;gbraid=0AAAAADwnxtZVwEUtxcH9qsXPmzEmaCqB1&amp;gclid=CjwKCAjw2rrQBhBuEiwAarLWHVKRpl1C37J-7ZZFTG6Co7wIDA7is688IxN2zk1ZN6elVtlLL9JvDxoCcdcQAvD_BwE" TargetMode="External"/><Relationship Id="rId31" Type="http://schemas.openxmlformats.org/officeDocument/2006/relationships/hyperlink" Target="https://www.reichelt.de/de/de/shop/produkt/stiftleisten_2_54_mm_1x02_gerade-119879" TargetMode="External"/><Relationship Id="rId44" Type="http://schemas.openxmlformats.org/officeDocument/2006/relationships/hyperlink" Target="https://www.reichelt.de/de/de/shop/produkt/aderendhuelsen-sortiment_isoliert_0_5_-_2_5_mm_-24731?PROVID=2788&amp;gad_source=1&amp;gad_campaignid=21157097500&amp;gbraid=0AAAAADwnxtYK8ESSZT_cBLsiNA0JQ5dYh&amp;gclid=CjwKCAjw2rrQBhBuEiwAarLWHaAzNErJ-1QgG64b5PVpqfO0ipzULf46GGQQZX_sIjjuxoagnCXFIxoC8jgQAvD_BwE" TargetMode="External"/><Relationship Id="rId52" Type="http://schemas.openxmlformats.org/officeDocument/2006/relationships/hyperlink" Target="https://www.reichelt.de/de/de/shop/produkt/pan_head_schrauben_kreuzschlitz_pzd_m3_16mm_50_stueck-65754?PROVID=2788&amp;gad_source=1&amp;gad_campaignid=1622074784&amp;gbraid=0AAAAADwnxtZVwEUtxcH9qsXPmzEmaCqB1&amp;gclid=CjwKCAjw2rrQBhBuEiwAarLWHdvC01KsoPNxLd2qeRuZxOxtQDq-J4fDM8TAP85CENHY-PR394hDSBoCyswQAvD_BwE" TargetMode="External"/><Relationship Id="rId60" Type="http://schemas.openxmlformats.org/officeDocument/2006/relationships/hyperlink" Target="https://www.amazon.de/-/en/ARCTIC-MX-4-conductivity-non-conductive-non-capacitive/dp/B07L9BDY3T" TargetMode="External"/><Relationship Id="rId4" Type="http://schemas.openxmlformats.org/officeDocument/2006/relationships/hyperlink" Target="https://www.reichelt.de/de/de/shop/produkt/tvs-diode_bidirektional_33_v_400_w_do-214ac_sma-272868?PROVID=2788&amp;gad_source=1&amp;gad_campaignid=18337673922&amp;gbraid=0AAAAADwnxtbmPJRG6UC7a5akwmLQKmMvO&amp;gclid=CjwKCAjw2rrQBhBuEiwAarLWHT_5vfH2gNMbcBC0705UfSElexWMqzDVowhqKTHGXKv2i2aflOo8vhoCiSIQAvD_BwE" TargetMode="External"/><Relationship Id="rId9" Type="http://schemas.openxmlformats.org/officeDocument/2006/relationships/hyperlink" Target="https://www.reichelt.de/de/de/shop/produkt/entwicklerboards_-_spannungsregler_2_5_w_dc_dc-wandler_lm2596s-282576?PROVID=2788&amp;gad_source=1&amp;gad_campaignid=1622074784&amp;gbraid=0AAAAADwnxtZVwEUtxcH9qsXPmzEmaCqB1&amp;gclid=CjwKCAjw2rrQBhBuEiwAarLWHdaTY5YSwajJKv_A3Hx9sS9pjuDWdqUvb2HUYCKvP1usIuv2EsmVrhoCwag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3"/>
  <sheetViews>
    <sheetView tabSelected="1" workbookViewId="0"/>
  </sheetViews>
  <sheetFormatPr defaultColWidth="14.42578125" defaultRowHeight="15" customHeight="1"/>
  <cols>
    <col min="1" max="1" width="5" customWidth="1"/>
    <col min="2" max="2" width="14" customWidth="1"/>
    <col min="3" max="3" width="5" customWidth="1"/>
    <col min="4" max="4" width="49.28515625" customWidth="1"/>
    <col min="5" max="5" width="30" customWidth="1"/>
    <col min="6" max="6" width="18" customWidth="1"/>
    <col min="7" max="7" width="12" customWidth="1"/>
    <col min="8" max="8" width="10" customWidth="1"/>
    <col min="9" max="9" width="30" customWidth="1"/>
    <col min="10" max="26" width="8.7109375" customWidth="1"/>
  </cols>
  <sheetData>
    <row r="1" spans="1:9" ht="14.2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4.25" customHeight="1">
      <c r="A2" s="21" t="s">
        <v>1</v>
      </c>
      <c r="B2" s="20"/>
      <c r="C2" s="20"/>
      <c r="D2" s="20"/>
      <c r="E2" s="20"/>
      <c r="F2" s="20"/>
      <c r="G2" s="20"/>
      <c r="H2" s="20"/>
      <c r="I2" s="20"/>
    </row>
    <row r="3" spans="1:9" ht="14.25" customHeight="1">
      <c r="A3" s="22" t="s">
        <v>2</v>
      </c>
      <c r="B3" s="20"/>
      <c r="C3" s="20"/>
      <c r="D3" s="20"/>
      <c r="E3" s="20"/>
      <c r="F3" s="20"/>
      <c r="G3" s="20"/>
      <c r="H3" s="20"/>
      <c r="I3" s="20"/>
    </row>
    <row r="4" spans="1:9" ht="14.25" customHeight="1"/>
    <row r="5" spans="1:9" ht="14.2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14.25" customHeight="1">
      <c r="A6" s="23" t="s">
        <v>12</v>
      </c>
      <c r="B6" s="24"/>
      <c r="C6" s="24"/>
      <c r="D6" s="24"/>
      <c r="E6" s="24"/>
      <c r="F6" s="24"/>
      <c r="G6" s="24"/>
      <c r="H6" s="24"/>
      <c r="I6" s="25"/>
    </row>
    <row r="7" spans="1:9" ht="14.25" customHeight="1">
      <c r="A7" s="26" t="s">
        <v>13</v>
      </c>
      <c r="B7" s="24"/>
      <c r="C7" s="24"/>
      <c r="D7" s="24"/>
      <c r="E7" s="24"/>
      <c r="F7" s="24"/>
      <c r="G7" s="24"/>
      <c r="H7" s="24"/>
      <c r="I7" s="25"/>
    </row>
    <row r="8" spans="1:9" ht="14.25" customHeight="1">
      <c r="A8" s="2">
        <v>1</v>
      </c>
      <c r="B8" s="2" t="s">
        <v>14</v>
      </c>
      <c r="C8" s="2">
        <v>2</v>
      </c>
      <c r="D8" s="2" t="s">
        <v>15</v>
      </c>
      <c r="E8" s="2" t="s">
        <v>16</v>
      </c>
      <c r="F8" s="3" t="s">
        <v>17</v>
      </c>
      <c r="G8" s="4">
        <v>0.91</v>
      </c>
      <c r="H8" s="4">
        <f t="shared" ref="H8:H9" si="0">C8*G8</f>
        <v>1.82</v>
      </c>
      <c r="I8" s="2" t="s">
        <v>18</v>
      </c>
    </row>
    <row r="9" spans="1:9" ht="14.25" customHeight="1">
      <c r="A9" s="2">
        <v>2</v>
      </c>
      <c r="B9" s="2" t="s">
        <v>19</v>
      </c>
      <c r="C9" s="2">
        <v>1</v>
      </c>
      <c r="D9" s="2" t="s">
        <v>20</v>
      </c>
      <c r="E9" s="2" t="s">
        <v>21</v>
      </c>
      <c r="F9" s="3" t="s">
        <v>22</v>
      </c>
      <c r="G9" s="4">
        <v>0.9</v>
      </c>
      <c r="H9" s="4">
        <f t="shared" si="0"/>
        <v>0.9</v>
      </c>
      <c r="I9" s="2" t="s">
        <v>23</v>
      </c>
    </row>
    <row r="10" spans="1:9" ht="14.25" customHeight="1">
      <c r="A10" s="2">
        <v>3</v>
      </c>
      <c r="B10" s="2" t="s">
        <v>24</v>
      </c>
      <c r="C10" s="2">
        <v>1</v>
      </c>
      <c r="D10" s="2" t="s">
        <v>25</v>
      </c>
      <c r="E10" s="2" t="s">
        <v>26</v>
      </c>
      <c r="F10" s="3" t="s">
        <v>27</v>
      </c>
      <c r="G10" s="4">
        <v>0.87</v>
      </c>
      <c r="H10" s="4">
        <v>0.87</v>
      </c>
      <c r="I10" s="2" t="s">
        <v>28</v>
      </c>
    </row>
    <row r="11" spans="1:9" ht="14.25" customHeight="1">
      <c r="A11" s="2">
        <v>4</v>
      </c>
      <c r="B11" s="2" t="s">
        <v>29</v>
      </c>
      <c r="C11" s="2">
        <v>1</v>
      </c>
      <c r="D11" s="2" t="s">
        <v>30</v>
      </c>
      <c r="E11" s="2" t="s">
        <v>31</v>
      </c>
      <c r="F11" s="3" t="s">
        <v>32</v>
      </c>
      <c r="G11" s="4">
        <v>0.1</v>
      </c>
      <c r="H11" s="4">
        <v>0.1</v>
      </c>
      <c r="I11" s="2" t="s">
        <v>33</v>
      </c>
    </row>
    <row r="12" spans="1:9" ht="14.25" customHeight="1">
      <c r="A12" s="2">
        <v>5</v>
      </c>
      <c r="B12" s="2" t="s">
        <v>34</v>
      </c>
      <c r="C12" s="2">
        <v>2</v>
      </c>
      <c r="D12" s="2" t="s">
        <v>35</v>
      </c>
      <c r="E12" s="2" t="s">
        <v>36</v>
      </c>
      <c r="F12" s="3" t="s">
        <v>37</v>
      </c>
      <c r="G12" s="4">
        <v>0.03</v>
      </c>
      <c r="H12" s="4">
        <f>G12*C12</f>
        <v>0.06</v>
      </c>
      <c r="I12" s="2" t="s">
        <v>38</v>
      </c>
    </row>
    <row r="13" spans="1:9" ht="14.25" customHeight="1">
      <c r="A13" s="2">
        <v>6</v>
      </c>
      <c r="B13" s="2" t="s">
        <v>39</v>
      </c>
      <c r="C13" s="2">
        <v>1</v>
      </c>
      <c r="D13" s="2" t="s">
        <v>40</v>
      </c>
      <c r="E13" s="2" t="s">
        <v>41</v>
      </c>
      <c r="F13" s="3" t="s">
        <v>42</v>
      </c>
      <c r="G13" s="4">
        <v>0.02</v>
      </c>
      <c r="H13" s="4">
        <f>C13*G13</f>
        <v>0.02</v>
      </c>
      <c r="I13" s="2" t="s">
        <v>43</v>
      </c>
    </row>
    <row r="14" spans="1:9" ht="14.25" customHeight="1">
      <c r="A14" s="5">
        <v>46143</v>
      </c>
      <c r="B14" s="2"/>
      <c r="C14" s="2">
        <v>2</v>
      </c>
      <c r="D14" s="2" t="s">
        <v>44</v>
      </c>
      <c r="E14" s="2" t="s">
        <v>45</v>
      </c>
      <c r="F14" s="3" t="s">
        <v>46</v>
      </c>
      <c r="G14" s="4">
        <v>0.99</v>
      </c>
      <c r="H14" s="4">
        <f>G14*C14</f>
        <v>1.98</v>
      </c>
      <c r="I14" s="2" t="s">
        <v>47</v>
      </c>
    </row>
    <row r="15" spans="1:9" ht="14.25" customHeight="1">
      <c r="A15" s="26" t="s">
        <v>48</v>
      </c>
      <c r="B15" s="24"/>
      <c r="C15" s="24"/>
      <c r="D15" s="24"/>
      <c r="E15" s="24"/>
      <c r="F15" s="24"/>
      <c r="G15" s="24"/>
      <c r="H15" s="24"/>
      <c r="I15" s="25"/>
    </row>
    <row r="16" spans="1:9" ht="14.25" customHeight="1">
      <c r="A16" s="2">
        <v>7</v>
      </c>
      <c r="B16" s="2" t="s">
        <v>49</v>
      </c>
      <c r="C16" s="2">
        <v>1</v>
      </c>
      <c r="D16" s="2" t="s">
        <v>50</v>
      </c>
      <c r="E16" s="2" t="s">
        <v>51</v>
      </c>
      <c r="F16" s="3" t="s">
        <v>52</v>
      </c>
      <c r="G16" s="4">
        <v>0.23</v>
      </c>
      <c r="H16" s="4">
        <f t="shared" ref="H16:H17" si="1">C16*G16</f>
        <v>0.23</v>
      </c>
      <c r="I16" s="2" t="s">
        <v>53</v>
      </c>
    </row>
    <row r="17" spans="1:11" ht="14.25" customHeight="1">
      <c r="A17" s="2">
        <v>8</v>
      </c>
      <c r="B17" s="2" t="s">
        <v>54</v>
      </c>
      <c r="C17" s="2">
        <v>1</v>
      </c>
      <c r="D17" s="2" t="s">
        <v>55</v>
      </c>
      <c r="E17" s="2" t="s">
        <v>56</v>
      </c>
      <c r="F17" s="3" t="s">
        <v>57</v>
      </c>
      <c r="G17" s="4">
        <v>2.99</v>
      </c>
      <c r="H17" s="4">
        <f t="shared" si="1"/>
        <v>2.99</v>
      </c>
      <c r="I17" s="2" t="s">
        <v>58</v>
      </c>
    </row>
    <row r="18" spans="1:11" ht="14.25" customHeight="1">
      <c r="A18" s="26" t="s">
        <v>59</v>
      </c>
      <c r="B18" s="24"/>
      <c r="C18" s="24"/>
      <c r="D18" s="24"/>
      <c r="E18" s="24"/>
      <c r="F18" s="24"/>
      <c r="G18" s="24"/>
      <c r="H18" s="24"/>
      <c r="I18" s="25"/>
    </row>
    <row r="19" spans="1:11" ht="14.25" customHeight="1">
      <c r="A19" s="2">
        <v>9</v>
      </c>
      <c r="B19" s="2" t="s">
        <v>60</v>
      </c>
      <c r="C19" s="2">
        <v>1</v>
      </c>
      <c r="D19" s="2" t="s">
        <v>61</v>
      </c>
      <c r="E19" s="2" t="s">
        <v>62</v>
      </c>
      <c r="F19" s="2"/>
      <c r="G19" s="4"/>
      <c r="H19" s="4">
        <f t="shared" ref="H19:H21" si="2">C19*G19</f>
        <v>0</v>
      </c>
      <c r="I19" s="2" t="s">
        <v>63</v>
      </c>
    </row>
    <row r="20" spans="1:11" ht="14.25" customHeight="1">
      <c r="A20" s="2">
        <v>10</v>
      </c>
      <c r="B20" s="2" t="s">
        <v>64</v>
      </c>
      <c r="C20" s="2">
        <v>1</v>
      </c>
      <c r="D20" s="2" t="s">
        <v>65</v>
      </c>
      <c r="E20" s="2" t="s">
        <v>66</v>
      </c>
      <c r="F20" s="3" t="s">
        <v>67</v>
      </c>
      <c r="G20" s="4">
        <v>1.3</v>
      </c>
      <c r="H20" s="4">
        <f t="shared" si="2"/>
        <v>1.3</v>
      </c>
      <c r="I20" s="2" t="s">
        <v>68</v>
      </c>
    </row>
    <row r="21" spans="1:11" ht="14.25" customHeight="1">
      <c r="A21" s="2">
        <v>11</v>
      </c>
      <c r="B21" s="2" t="s">
        <v>69</v>
      </c>
      <c r="C21" s="2">
        <v>1</v>
      </c>
      <c r="D21" s="2" t="s">
        <v>70</v>
      </c>
      <c r="E21" s="2" t="s">
        <v>66</v>
      </c>
      <c r="F21" s="3" t="s">
        <v>71</v>
      </c>
      <c r="G21" s="4">
        <v>0.25</v>
      </c>
      <c r="H21" s="4">
        <f t="shared" si="2"/>
        <v>0.25</v>
      </c>
      <c r="I21" s="2" t="s">
        <v>72</v>
      </c>
    </row>
    <row r="22" spans="1:11" ht="14.25" customHeight="1">
      <c r="A22" s="26" t="s">
        <v>73</v>
      </c>
      <c r="B22" s="24"/>
      <c r="C22" s="24"/>
      <c r="D22" s="24"/>
      <c r="E22" s="24"/>
      <c r="F22" s="24"/>
      <c r="G22" s="24"/>
      <c r="H22" s="24"/>
      <c r="I22" s="25"/>
    </row>
    <row r="23" spans="1:11" ht="14.25" customHeight="1">
      <c r="A23" s="2">
        <v>12</v>
      </c>
      <c r="B23" s="2" t="s">
        <v>74</v>
      </c>
      <c r="C23" s="2">
        <v>8</v>
      </c>
      <c r="D23" s="6" t="s">
        <v>75</v>
      </c>
      <c r="E23" s="2" t="s">
        <v>76</v>
      </c>
      <c r="F23" s="3" t="s">
        <v>77</v>
      </c>
      <c r="G23" s="4">
        <v>1.7</v>
      </c>
      <c r="H23" s="4">
        <f t="shared" ref="H23:H27" si="3">C23*G23</f>
        <v>13.6</v>
      </c>
      <c r="I23" s="2" t="s">
        <v>78</v>
      </c>
    </row>
    <row r="24" spans="1:11" ht="14.25" customHeight="1">
      <c r="A24" s="2">
        <v>14</v>
      </c>
      <c r="B24" s="2" t="s">
        <v>79</v>
      </c>
      <c r="C24" s="2">
        <v>10</v>
      </c>
      <c r="D24" s="2" t="s">
        <v>80</v>
      </c>
      <c r="E24" s="2" t="s">
        <v>81</v>
      </c>
      <c r="F24" s="3" t="s">
        <v>82</v>
      </c>
      <c r="G24" s="4">
        <v>7.0000000000000007E-2</v>
      </c>
      <c r="H24" s="4">
        <f t="shared" si="3"/>
        <v>0.70000000000000007</v>
      </c>
      <c r="I24" s="2" t="s">
        <v>83</v>
      </c>
    </row>
    <row r="25" spans="1:11" ht="14.25" customHeight="1">
      <c r="A25" s="2">
        <v>15</v>
      </c>
      <c r="B25" s="2" t="s">
        <v>84</v>
      </c>
      <c r="C25" s="2">
        <v>5</v>
      </c>
      <c r="D25" s="2" t="s">
        <v>85</v>
      </c>
      <c r="E25" s="2" t="s">
        <v>86</v>
      </c>
      <c r="F25" s="3" t="s">
        <v>87</v>
      </c>
      <c r="G25" s="4">
        <v>7.0000000000000007E-2</v>
      </c>
      <c r="H25" s="4">
        <f t="shared" si="3"/>
        <v>0.35000000000000003</v>
      </c>
      <c r="I25" s="2"/>
    </row>
    <row r="26" spans="1:11" ht="14.25" customHeight="1">
      <c r="A26" s="2">
        <v>16</v>
      </c>
      <c r="B26" s="2" t="s">
        <v>88</v>
      </c>
      <c r="C26" s="2">
        <v>10</v>
      </c>
      <c r="D26" s="2" t="s">
        <v>89</v>
      </c>
      <c r="E26" s="2" t="s">
        <v>90</v>
      </c>
      <c r="F26" s="3" t="s">
        <v>91</v>
      </c>
      <c r="G26" s="4">
        <v>0.46</v>
      </c>
      <c r="H26" s="4">
        <f t="shared" si="3"/>
        <v>4.6000000000000005</v>
      </c>
      <c r="I26" s="2"/>
    </row>
    <row r="27" spans="1:11" ht="14.25" customHeight="1">
      <c r="A27" s="2">
        <v>17</v>
      </c>
      <c r="B27" s="2" t="s">
        <v>92</v>
      </c>
      <c r="C27" s="2">
        <v>10</v>
      </c>
      <c r="D27" s="2" t="s">
        <v>93</v>
      </c>
      <c r="E27" s="2" t="s">
        <v>94</v>
      </c>
      <c r="F27" s="3" t="s">
        <v>95</v>
      </c>
      <c r="G27" s="4">
        <v>0.14000000000000001</v>
      </c>
      <c r="H27" s="4">
        <f t="shared" si="3"/>
        <v>1.4000000000000001</v>
      </c>
      <c r="I27" s="2" t="s">
        <v>96</v>
      </c>
    </row>
    <row r="28" spans="1:11" ht="14.25" customHeight="1">
      <c r="A28" s="26" t="s">
        <v>97</v>
      </c>
      <c r="B28" s="24"/>
      <c r="C28" s="24"/>
      <c r="D28" s="24"/>
      <c r="E28" s="24"/>
      <c r="F28" s="24"/>
      <c r="G28" s="24"/>
      <c r="H28" s="24"/>
      <c r="I28" s="25"/>
    </row>
    <row r="29" spans="1:11" ht="14.25" customHeight="1">
      <c r="A29" s="2">
        <v>20</v>
      </c>
      <c r="B29" s="2" t="s">
        <v>98</v>
      </c>
      <c r="C29" s="2">
        <v>3</v>
      </c>
      <c r="D29" s="2" t="s">
        <v>99</v>
      </c>
      <c r="E29" s="2" t="s">
        <v>100</v>
      </c>
      <c r="F29" s="3" t="s">
        <v>101</v>
      </c>
      <c r="G29" s="4">
        <v>0.02</v>
      </c>
      <c r="H29" s="4">
        <f t="shared" ref="H29:H35" si="4">C29*G29</f>
        <v>0.06</v>
      </c>
      <c r="I29" s="2" t="s">
        <v>102</v>
      </c>
      <c r="K29" s="7"/>
    </row>
    <row r="30" spans="1:11" ht="14.25" customHeight="1">
      <c r="A30" s="2">
        <v>21</v>
      </c>
      <c r="B30" s="2" t="s">
        <v>103</v>
      </c>
      <c r="C30" s="2">
        <v>2</v>
      </c>
      <c r="D30" s="2" t="s">
        <v>104</v>
      </c>
      <c r="E30" s="2" t="s">
        <v>105</v>
      </c>
      <c r="F30" s="3" t="s">
        <v>106</v>
      </c>
      <c r="G30" s="4">
        <v>0.02</v>
      </c>
      <c r="H30" s="4">
        <f t="shared" si="4"/>
        <v>0.04</v>
      </c>
      <c r="I30" s="2" t="s">
        <v>107</v>
      </c>
      <c r="K30" s="7"/>
    </row>
    <row r="31" spans="1:11" ht="14.25" customHeight="1">
      <c r="A31" s="2">
        <v>22</v>
      </c>
      <c r="B31" s="2" t="s">
        <v>108</v>
      </c>
      <c r="C31" s="2">
        <v>2</v>
      </c>
      <c r="D31" s="2" t="s">
        <v>109</v>
      </c>
      <c r="E31" s="2" t="s">
        <v>110</v>
      </c>
      <c r="F31" s="3" t="s">
        <v>111</v>
      </c>
      <c r="G31" s="4">
        <v>0.02</v>
      </c>
      <c r="H31" s="4">
        <f t="shared" si="4"/>
        <v>0.04</v>
      </c>
      <c r="I31" s="2" t="s">
        <v>112</v>
      </c>
    </row>
    <row r="32" spans="1:11" ht="14.25" customHeight="1">
      <c r="A32" s="2">
        <v>23</v>
      </c>
      <c r="B32" s="2" t="s">
        <v>113</v>
      </c>
      <c r="C32" s="2">
        <v>1</v>
      </c>
      <c r="D32" s="2" t="s">
        <v>114</v>
      </c>
      <c r="E32" s="2" t="s">
        <v>114</v>
      </c>
      <c r="F32" s="3" t="s">
        <v>115</v>
      </c>
      <c r="G32" s="4">
        <v>0.75</v>
      </c>
      <c r="H32" s="4">
        <f t="shared" si="4"/>
        <v>0.75</v>
      </c>
      <c r="I32" s="2" t="s">
        <v>116</v>
      </c>
    </row>
    <row r="33" spans="1:11" ht="14.25" customHeight="1">
      <c r="A33" s="2">
        <v>24</v>
      </c>
      <c r="B33" s="2" t="s">
        <v>117</v>
      </c>
      <c r="C33" s="2">
        <v>1</v>
      </c>
      <c r="D33" s="2" t="s">
        <v>118</v>
      </c>
      <c r="E33" s="2" t="s">
        <v>119</v>
      </c>
      <c r="F33" s="3" t="s">
        <v>120</v>
      </c>
      <c r="G33" s="4">
        <v>0.02</v>
      </c>
      <c r="H33" s="4">
        <f t="shared" si="4"/>
        <v>0.02</v>
      </c>
      <c r="I33" s="2" t="s">
        <v>121</v>
      </c>
    </row>
    <row r="34" spans="1:11" ht="14.25" customHeight="1">
      <c r="A34" s="2">
        <v>25</v>
      </c>
      <c r="B34" s="2" t="s">
        <v>122</v>
      </c>
      <c r="C34" s="2">
        <v>1</v>
      </c>
      <c r="D34" s="2" t="s">
        <v>123</v>
      </c>
      <c r="E34" s="2" t="s">
        <v>124</v>
      </c>
      <c r="F34" s="3" t="s">
        <v>125</v>
      </c>
      <c r="G34" s="4">
        <v>0.09</v>
      </c>
      <c r="H34" s="4">
        <f t="shared" si="4"/>
        <v>0.09</v>
      </c>
      <c r="I34" s="2" t="s">
        <v>126</v>
      </c>
      <c r="K34" s="8"/>
    </row>
    <row r="35" spans="1:11" ht="14.25" customHeight="1">
      <c r="A35" s="2">
        <v>26</v>
      </c>
      <c r="B35" s="2" t="s">
        <v>127</v>
      </c>
      <c r="C35" s="2">
        <v>3</v>
      </c>
      <c r="D35" s="2" t="s">
        <v>128</v>
      </c>
      <c r="E35" s="2" t="s">
        <v>129</v>
      </c>
      <c r="F35" s="3" t="s">
        <v>130</v>
      </c>
      <c r="G35" s="4">
        <v>0.02</v>
      </c>
      <c r="H35" s="4">
        <f t="shared" si="4"/>
        <v>0.06</v>
      </c>
      <c r="I35" s="2" t="s">
        <v>131</v>
      </c>
      <c r="K35" s="8"/>
    </row>
    <row r="36" spans="1:11" ht="14.25" customHeight="1">
      <c r="A36" s="26" t="s">
        <v>132</v>
      </c>
      <c r="B36" s="24"/>
      <c r="C36" s="24"/>
      <c r="D36" s="24"/>
      <c r="E36" s="24"/>
      <c r="F36" s="24"/>
      <c r="G36" s="24"/>
      <c r="H36" s="24"/>
      <c r="I36" s="25"/>
    </row>
    <row r="37" spans="1:11" ht="14.25" customHeight="1">
      <c r="A37" s="2">
        <v>27</v>
      </c>
      <c r="B37" s="2" t="s">
        <v>133</v>
      </c>
      <c r="C37" s="2">
        <v>2</v>
      </c>
      <c r="D37" s="2" t="s">
        <v>134</v>
      </c>
      <c r="E37" s="2" t="s">
        <v>135</v>
      </c>
      <c r="F37" s="3" t="s">
        <v>136</v>
      </c>
      <c r="G37" s="4">
        <v>0.05</v>
      </c>
      <c r="H37" s="4">
        <f>C37*G37</f>
        <v>0.1</v>
      </c>
      <c r="I37" s="2" t="s">
        <v>137</v>
      </c>
      <c r="K37" s="8"/>
    </row>
    <row r="38" spans="1:11" ht="14.25" customHeight="1">
      <c r="A38" s="2"/>
      <c r="B38" s="2"/>
      <c r="C38" s="2">
        <v>1</v>
      </c>
      <c r="D38" s="2" t="s">
        <v>138</v>
      </c>
      <c r="E38" s="2" t="s">
        <v>139</v>
      </c>
      <c r="F38" s="3" t="s">
        <v>140</v>
      </c>
      <c r="G38" s="4">
        <v>7.0000000000000007E-2</v>
      </c>
      <c r="H38" s="4"/>
      <c r="I38" s="2"/>
    </row>
    <row r="39" spans="1:11" ht="14.25" customHeight="1">
      <c r="A39" s="2">
        <v>28</v>
      </c>
      <c r="B39" s="2" t="s">
        <v>141</v>
      </c>
      <c r="C39" s="2">
        <v>1</v>
      </c>
      <c r="D39" s="2" t="s">
        <v>142</v>
      </c>
      <c r="E39" s="2" t="s">
        <v>143</v>
      </c>
      <c r="F39" s="3" t="s">
        <v>144</v>
      </c>
      <c r="G39" s="4">
        <v>0.09</v>
      </c>
      <c r="H39" s="4">
        <f>C39*G39</f>
        <v>0.09</v>
      </c>
      <c r="I39" s="2" t="s">
        <v>145</v>
      </c>
    </row>
    <row r="40" spans="1:11" ht="14.25" customHeight="1">
      <c r="A40" s="26" t="s">
        <v>146</v>
      </c>
      <c r="B40" s="24"/>
      <c r="C40" s="24"/>
      <c r="D40" s="24"/>
      <c r="E40" s="24"/>
      <c r="F40" s="24"/>
      <c r="G40" s="24"/>
      <c r="H40" s="24"/>
      <c r="I40" s="25"/>
    </row>
    <row r="41" spans="1:11" ht="14.25" customHeight="1">
      <c r="A41" s="2">
        <v>29</v>
      </c>
      <c r="B41" s="2" t="s">
        <v>147</v>
      </c>
      <c r="C41" s="2">
        <v>1</v>
      </c>
      <c r="D41" s="2" t="s">
        <v>148</v>
      </c>
      <c r="E41" s="2" t="s">
        <v>149</v>
      </c>
      <c r="F41" s="3" t="s">
        <v>150</v>
      </c>
      <c r="G41" s="4">
        <v>0.33</v>
      </c>
      <c r="H41" s="4">
        <f t="shared" ref="H41:H48" si="5">C41*G41</f>
        <v>0.33</v>
      </c>
      <c r="I41" s="2" t="s">
        <v>151</v>
      </c>
    </row>
    <row r="42" spans="1:11" ht="14.25" customHeight="1">
      <c r="A42" s="2">
        <v>30</v>
      </c>
      <c r="B42" s="2" t="s">
        <v>152</v>
      </c>
      <c r="C42" s="2">
        <v>1</v>
      </c>
      <c r="D42" s="2" t="s">
        <v>153</v>
      </c>
      <c r="E42" s="2" t="s">
        <v>149</v>
      </c>
      <c r="F42" s="3" t="s">
        <v>150</v>
      </c>
      <c r="G42" s="4">
        <v>0.33</v>
      </c>
      <c r="H42" s="4">
        <f t="shared" si="5"/>
        <v>0.33</v>
      </c>
      <c r="I42" s="2" t="s">
        <v>154</v>
      </c>
    </row>
    <row r="43" spans="1:11" ht="14.25" customHeight="1">
      <c r="A43" s="2">
        <v>31</v>
      </c>
      <c r="B43" s="2" t="s">
        <v>155</v>
      </c>
      <c r="C43" s="2">
        <v>1</v>
      </c>
      <c r="D43" s="2" t="s">
        <v>156</v>
      </c>
      <c r="E43" s="2" t="s">
        <v>157</v>
      </c>
      <c r="F43" s="3" t="s">
        <v>150</v>
      </c>
      <c r="G43" s="4">
        <v>0.33</v>
      </c>
      <c r="H43" s="4">
        <f t="shared" si="5"/>
        <v>0.33</v>
      </c>
      <c r="I43" s="2" t="s">
        <v>158</v>
      </c>
    </row>
    <row r="44" spans="1:11" ht="14.25" customHeight="1">
      <c r="A44" s="2">
        <v>32</v>
      </c>
      <c r="B44" s="2" t="s">
        <v>159</v>
      </c>
      <c r="C44" s="2">
        <v>3</v>
      </c>
      <c r="D44" s="2" t="s">
        <v>160</v>
      </c>
      <c r="E44" s="2" t="s">
        <v>161</v>
      </c>
      <c r="F44" s="3" t="s">
        <v>162</v>
      </c>
      <c r="G44" s="4">
        <v>0.06</v>
      </c>
      <c r="H44" s="4">
        <f t="shared" si="5"/>
        <v>0.18</v>
      </c>
      <c r="I44" s="2" t="s">
        <v>163</v>
      </c>
    </row>
    <row r="45" spans="1:11" ht="14.25" customHeight="1">
      <c r="A45" s="2">
        <v>33</v>
      </c>
      <c r="B45" s="2" t="s">
        <v>164</v>
      </c>
      <c r="C45" s="2">
        <v>1</v>
      </c>
      <c r="D45" s="2" t="s">
        <v>165</v>
      </c>
      <c r="E45" s="2" t="s">
        <v>161</v>
      </c>
      <c r="F45" s="3" t="s">
        <v>166</v>
      </c>
      <c r="G45" s="4">
        <v>0.06</v>
      </c>
      <c r="H45" s="4">
        <f t="shared" si="5"/>
        <v>0.06</v>
      </c>
      <c r="I45" s="2" t="s">
        <v>167</v>
      </c>
    </row>
    <row r="46" spans="1:11" ht="14.25" customHeight="1">
      <c r="A46" s="2">
        <v>34</v>
      </c>
      <c r="B46" s="2" t="s">
        <v>168</v>
      </c>
      <c r="C46" s="2">
        <v>1</v>
      </c>
      <c r="D46" s="2" t="s">
        <v>169</v>
      </c>
      <c r="E46" s="2" t="s">
        <v>170</v>
      </c>
      <c r="F46" s="3" t="s">
        <v>171</v>
      </c>
      <c r="G46" s="4">
        <v>0.16</v>
      </c>
      <c r="H46" s="4">
        <f t="shared" si="5"/>
        <v>0.16</v>
      </c>
      <c r="I46" s="2" t="s">
        <v>172</v>
      </c>
    </row>
    <row r="47" spans="1:11" ht="14.25" customHeight="1">
      <c r="A47" s="2"/>
      <c r="B47" s="2"/>
      <c r="C47" s="2">
        <v>2</v>
      </c>
      <c r="D47" s="2" t="s">
        <v>173</v>
      </c>
      <c r="E47" s="9" t="s">
        <v>174</v>
      </c>
      <c r="F47" s="3" t="s">
        <v>175</v>
      </c>
      <c r="G47" s="4">
        <v>0.99</v>
      </c>
      <c r="H47" s="4">
        <f t="shared" si="5"/>
        <v>1.98</v>
      </c>
      <c r="I47" s="2" t="s">
        <v>176</v>
      </c>
    </row>
    <row r="48" spans="1:11" ht="14.25" customHeight="1">
      <c r="A48" s="2">
        <v>35</v>
      </c>
      <c r="B48" s="2" t="s">
        <v>177</v>
      </c>
      <c r="C48" s="2">
        <v>1</v>
      </c>
      <c r="D48" s="2" t="s">
        <v>178</v>
      </c>
      <c r="E48" s="2" t="s">
        <v>179</v>
      </c>
      <c r="F48" s="3" t="s">
        <v>180</v>
      </c>
      <c r="G48" s="4">
        <v>0.27</v>
      </c>
      <c r="H48" s="4">
        <f t="shared" si="5"/>
        <v>0.27</v>
      </c>
      <c r="I48" s="2" t="s">
        <v>181</v>
      </c>
    </row>
    <row r="49" spans="1:9" ht="14.25" customHeight="1">
      <c r="A49" s="27" t="s">
        <v>182</v>
      </c>
      <c r="B49" s="24"/>
      <c r="C49" s="24"/>
      <c r="D49" s="24"/>
      <c r="E49" s="24"/>
      <c r="F49" s="25"/>
      <c r="G49" s="10"/>
      <c r="H49" s="11">
        <f>SUM(H8:H48)</f>
        <v>36.060000000000009</v>
      </c>
      <c r="I49" s="12" t="s">
        <v>183</v>
      </c>
    </row>
    <row r="50" spans="1:9" ht="14.25" customHeight="1"/>
    <row r="51" spans="1:9" ht="14.25" customHeight="1">
      <c r="A51" s="26" t="s">
        <v>184</v>
      </c>
      <c r="B51" s="24"/>
      <c r="C51" s="24"/>
      <c r="D51" s="24"/>
      <c r="E51" s="24"/>
      <c r="F51" s="24"/>
      <c r="G51" s="24"/>
      <c r="H51" s="24"/>
      <c r="I51" s="25"/>
    </row>
    <row r="52" spans="1:9" ht="14.25" customHeight="1">
      <c r="A52" s="23" t="s">
        <v>185</v>
      </c>
      <c r="B52" s="24"/>
      <c r="C52" s="24"/>
      <c r="D52" s="24"/>
      <c r="E52" s="24"/>
      <c r="F52" s="24"/>
      <c r="G52" s="24"/>
      <c r="H52" s="24"/>
      <c r="I52" s="25"/>
    </row>
    <row r="53" spans="1:9" ht="14.25" customHeight="1">
      <c r="A53" s="2">
        <v>36</v>
      </c>
      <c r="B53" s="2" t="s">
        <v>186</v>
      </c>
      <c r="C53" s="2">
        <v>1</v>
      </c>
      <c r="D53" s="2" t="s">
        <v>187</v>
      </c>
      <c r="E53" s="2" t="s">
        <v>188</v>
      </c>
      <c r="F53" s="3" t="s">
        <v>189</v>
      </c>
      <c r="G53" s="4">
        <v>11.99</v>
      </c>
      <c r="H53" s="4">
        <f t="shared" ref="H53:H54" si="6">C53*G53</f>
        <v>11.99</v>
      </c>
      <c r="I53" s="2" t="s">
        <v>190</v>
      </c>
    </row>
    <row r="54" spans="1:9" ht="14.25" customHeight="1">
      <c r="A54" s="2">
        <v>37</v>
      </c>
      <c r="B54" s="2" t="s">
        <v>191</v>
      </c>
      <c r="C54" s="2">
        <v>1</v>
      </c>
      <c r="D54" s="2" t="s">
        <v>192</v>
      </c>
      <c r="E54" s="2" t="s">
        <v>188</v>
      </c>
      <c r="F54" s="3" t="s">
        <v>189</v>
      </c>
      <c r="G54" s="4">
        <v>11.99</v>
      </c>
      <c r="H54" s="4">
        <f t="shared" si="6"/>
        <v>11.99</v>
      </c>
      <c r="I54" s="2" t="s">
        <v>193</v>
      </c>
    </row>
    <row r="55" spans="1:9" ht="14.25" customHeight="1">
      <c r="A55" s="2"/>
      <c r="B55" s="2"/>
      <c r="C55" s="2">
        <v>1</v>
      </c>
      <c r="D55" s="2" t="s">
        <v>194</v>
      </c>
      <c r="E55" s="2" t="s">
        <v>195</v>
      </c>
      <c r="F55" s="3" t="s">
        <v>196</v>
      </c>
      <c r="G55" s="4">
        <v>6.99</v>
      </c>
      <c r="H55" s="4">
        <f>G55*C55</f>
        <v>6.99</v>
      </c>
      <c r="I55" s="2"/>
    </row>
    <row r="56" spans="1:9" ht="14.25" customHeight="1">
      <c r="A56" s="2">
        <v>38</v>
      </c>
      <c r="B56" s="2" t="s">
        <v>197</v>
      </c>
      <c r="C56" s="2">
        <v>1</v>
      </c>
      <c r="D56" s="2" t="s">
        <v>198</v>
      </c>
      <c r="E56" s="2" t="s">
        <v>199</v>
      </c>
      <c r="F56" s="3" t="s">
        <v>200</v>
      </c>
      <c r="G56" s="4">
        <v>14.89</v>
      </c>
      <c r="H56" s="4">
        <f t="shared" ref="H56:H57" si="7">C56*G56</f>
        <v>14.89</v>
      </c>
      <c r="I56" s="2" t="s">
        <v>201</v>
      </c>
    </row>
    <row r="57" spans="1:9" ht="14.25" customHeight="1">
      <c r="A57" s="2">
        <v>39</v>
      </c>
      <c r="B57" s="2" t="s">
        <v>202</v>
      </c>
      <c r="C57" s="2">
        <v>1</v>
      </c>
      <c r="D57" s="2" t="s">
        <v>203</v>
      </c>
      <c r="E57" s="2" t="s">
        <v>204</v>
      </c>
      <c r="F57" s="3" t="s">
        <v>205</v>
      </c>
      <c r="G57" s="4">
        <v>3.1</v>
      </c>
      <c r="H57" s="4">
        <f t="shared" si="7"/>
        <v>3.1</v>
      </c>
      <c r="I57" s="2" t="s">
        <v>206</v>
      </c>
    </row>
    <row r="58" spans="1:9" ht="14.25" customHeight="1">
      <c r="A58" s="26" t="s">
        <v>207</v>
      </c>
      <c r="B58" s="24"/>
      <c r="C58" s="24"/>
      <c r="D58" s="24"/>
      <c r="E58" s="24"/>
      <c r="F58" s="24"/>
      <c r="G58" s="24"/>
      <c r="H58" s="24"/>
      <c r="I58" s="25"/>
    </row>
    <row r="59" spans="1:9" ht="14.25" customHeight="1">
      <c r="A59" s="2">
        <v>40</v>
      </c>
      <c r="B59" s="2" t="s">
        <v>208</v>
      </c>
      <c r="C59" s="2">
        <v>1</v>
      </c>
      <c r="D59" s="2" t="s">
        <v>209</v>
      </c>
      <c r="E59" s="2" t="s">
        <v>210</v>
      </c>
      <c r="F59" s="3" t="s">
        <v>211</v>
      </c>
      <c r="G59" s="4">
        <v>2.99</v>
      </c>
      <c r="H59" s="4">
        <f t="shared" ref="H59:H61" si="8">C59*G59</f>
        <v>2.99</v>
      </c>
      <c r="I59" s="2" t="s">
        <v>212</v>
      </c>
    </row>
    <row r="60" spans="1:9" ht="14.25" customHeight="1">
      <c r="A60" s="2">
        <v>41</v>
      </c>
      <c r="B60" s="2" t="s">
        <v>213</v>
      </c>
      <c r="C60" s="2">
        <v>2</v>
      </c>
      <c r="D60" s="2" t="s">
        <v>214</v>
      </c>
      <c r="E60" s="2" t="s">
        <v>215</v>
      </c>
      <c r="F60" s="3" t="s">
        <v>216</v>
      </c>
      <c r="G60" s="4">
        <v>1.85</v>
      </c>
      <c r="H60" s="4">
        <f t="shared" si="8"/>
        <v>3.7</v>
      </c>
      <c r="I60" s="2" t="s">
        <v>217</v>
      </c>
    </row>
    <row r="61" spans="1:9" ht="14.25" customHeight="1">
      <c r="A61" s="2">
        <v>42</v>
      </c>
      <c r="B61" s="2" t="s">
        <v>218</v>
      </c>
      <c r="C61" s="2">
        <v>1</v>
      </c>
      <c r="D61" s="2" t="s">
        <v>219</v>
      </c>
      <c r="E61" s="2" t="s">
        <v>220</v>
      </c>
      <c r="F61" s="3" t="s">
        <v>221</v>
      </c>
      <c r="G61" s="4">
        <v>2.99</v>
      </c>
      <c r="H61" s="4">
        <f t="shared" si="8"/>
        <v>2.99</v>
      </c>
      <c r="I61" s="2" t="s">
        <v>222</v>
      </c>
    </row>
    <row r="62" spans="1:9" ht="14.25" customHeight="1">
      <c r="A62" s="26" t="s">
        <v>223</v>
      </c>
      <c r="B62" s="24"/>
      <c r="C62" s="24"/>
      <c r="D62" s="24"/>
      <c r="E62" s="24"/>
      <c r="F62" s="24"/>
      <c r="G62" s="24"/>
      <c r="H62" s="24"/>
      <c r="I62" s="25"/>
    </row>
    <row r="63" spans="1:9" ht="14.25" customHeight="1">
      <c r="A63" s="2">
        <v>43</v>
      </c>
      <c r="B63" s="2" t="s">
        <v>224</v>
      </c>
      <c r="C63" s="2">
        <v>4</v>
      </c>
      <c r="D63" s="2" t="s">
        <v>225</v>
      </c>
      <c r="E63" s="2" t="s">
        <v>226</v>
      </c>
      <c r="F63" s="3" t="s">
        <v>150</v>
      </c>
      <c r="G63" s="4">
        <v>0.33</v>
      </c>
      <c r="H63" s="4">
        <f t="shared" ref="H63:H66" si="9">C63*G63</f>
        <v>1.32</v>
      </c>
      <c r="I63" s="2" t="s">
        <v>227</v>
      </c>
    </row>
    <row r="64" spans="1:9" ht="14.25" customHeight="1">
      <c r="A64" s="2">
        <v>44</v>
      </c>
      <c r="B64" s="2" t="s">
        <v>228</v>
      </c>
      <c r="C64" s="2">
        <v>1</v>
      </c>
      <c r="D64" s="2" t="s">
        <v>229</v>
      </c>
      <c r="E64" s="2" t="s">
        <v>230</v>
      </c>
      <c r="F64" s="3" t="s">
        <v>231</v>
      </c>
      <c r="G64" s="4">
        <v>4.9000000000000004</v>
      </c>
      <c r="H64" s="4">
        <f t="shared" si="9"/>
        <v>4.9000000000000004</v>
      </c>
      <c r="I64" s="2" t="s">
        <v>232</v>
      </c>
    </row>
    <row r="65" spans="1:10" ht="14.25" customHeight="1">
      <c r="A65" s="2">
        <v>45</v>
      </c>
      <c r="B65" s="2" t="s">
        <v>233</v>
      </c>
      <c r="C65" s="2">
        <v>1</v>
      </c>
      <c r="D65" s="2" t="s">
        <v>234</v>
      </c>
      <c r="E65" s="2" t="s">
        <v>235</v>
      </c>
      <c r="F65" s="3" t="s">
        <v>236</v>
      </c>
      <c r="G65" s="4">
        <v>3.5</v>
      </c>
      <c r="H65" s="4">
        <f t="shared" si="9"/>
        <v>3.5</v>
      </c>
      <c r="I65" s="2" t="s">
        <v>237</v>
      </c>
    </row>
    <row r="66" spans="1:10" ht="14.25" customHeight="1">
      <c r="A66" s="2">
        <v>46</v>
      </c>
      <c r="B66" s="2" t="s">
        <v>238</v>
      </c>
      <c r="C66" s="2">
        <v>20</v>
      </c>
      <c r="D66" s="2" t="s">
        <v>239</v>
      </c>
      <c r="E66" s="2" t="s">
        <v>240</v>
      </c>
      <c r="F66" s="3" t="s">
        <v>241</v>
      </c>
      <c r="G66" s="4">
        <v>0.2</v>
      </c>
      <c r="H66" s="4">
        <f t="shared" si="9"/>
        <v>4</v>
      </c>
      <c r="I66" s="2" t="s">
        <v>242</v>
      </c>
    </row>
    <row r="67" spans="1:10" ht="14.25" customHeight="1">
      <c r="A67" s="26" t="s">
        <v>243</v>
      </c>
      <c r="B67" s="24"/>
      <c r="C67" s="24"/>
      <c r="D67" s="24"/>
      <c r="E67" s="24"/>
      <c r="F67" s="24"/>
      <c r="G67" s="24"/>
      <c r="H67" s="24"/>
      <c r="I67" s="25"/>
    </row>
    <row r="68" spans="1:10" ht="14.25" customHeight="1">
      <c r="A68" s="2">
        <v>47</v>
      </c>
      <c r="B68" s="2" t="s">
        <v>244</v>
      </c>
      <c r="C68" s="2">
        <v>1</v>
      </c>
      <c r="D68" s="2" t="s">
        <v>245</v>
      </c>
      <c r="E68" s="2" t="s">
        <v>246</v>
      </c>
      <c r="F68" s="3" t="s">
        <v>247</v>
      </c>
      <c r="G68" s="4">
        <v>0.5</v>
      </c>
      <c r="H68" s="4">
        <f t="shared" ref="H68:H70" si="10">C68*G68</f>
        <v>0.5</v>
      </c>
      <c r="I68" s="2" t="s">
        <v>248</v>
      </c>
    </row>
    <row r="69" spans="1:10" ht="14.25" customHeight="1">
      <c r="A69" s="2">
        <v>48</v>
      </c>
      <c r="B69" s="2" t="s">
        <v>249</v>
      </c>
      <c r="C69" s="2">
        <v>20</v>
      </c>
      <c r="D69" s="2" t="s">
        <v>250</v>
      </c>
      <c r="E69" s="2" t="s">
        <v>251</v>
      </c>
      <c r="F69" s="3" t="s">
        <v>252</v>
      </c>
      <c r="G69" s="4">
        <v>0.37</v>
      </c>
      <c r="H69" s="4">
        <f t="shared" si="10"/>
        <v>7.4</v>
      </c>
      <c r="I69" s="2" t="s">
        <v>253</v>
      </c>
    </row>
    <row r="70" spans="1:10" ht="14.25" customHeight="1">
      <c r="A70" s="2">
        <v>49</v>
      </c>
      <c r="B70" s="2" t="s">
        <v>254</v>
      </c>
      <c r="C70" s="2">
        <v>1</v>
      </c>
      <c r="D70" s="2" t="s">
        <v>255</v>
      </c>
      <c r="E70" s="2" t="s">
        <v>256</v>
      </c>
      <c r="F70" s="3" t="s">
        <v>257</v>
      </c>
      <c r="G70" s="4">
        <v>1.45</v>
      </c>
      <c r="H70" s="4">
        <f t="shared" si="10"/>
        <v>1.45</v>
      </c>
      <c r="I70" s="2" t="s">
        <v>258</v>
      </c>
    </row>
    <row r="71" spans="1:10" ht="14.25" customHeight="1">
      <c r="A71" s="27" t="s">
        <v>259</v>
      </c>
      <c r="B71" s="24"/>
      <c r="C71" s="24"/>
      <c r="D71" s="24"/>
      <c r="E71" s="24"/>
      <c r="F71" s="25"/>
      <c r="G71" s="10"/>
      <c r="H71" s="11">
        <f>SUM(H52:H70)</f>
        <v>81.710000000000022</v>
      </c>
      <c r="I71" s="10"/>
    </row>
    <row r="72" spans="1:10" ht="14.25" customHeight="1"/>
    <row r="73" spans="1:10" ht="14.25" customHeight="1">
      <c r="A73" s="26" t="s">
        <v>260</v>
      </c>
      <c r="B73" s="24"/>
      <c r="C73" s="24"/>
      <c r="D73" s="24"/>
      <c r="E73" s="24"/>
      <c r="F73" s="24"/>
      <c r="G73" s="24"/>
      <c r="H73" s="24"/>
      <c r="I73" s="25"/>
    </row>
    <row r="74" spans="1:10" ht="14.25" customHeight="1">
      <c r="A74" s="23" t="s">
        <v>261</v>
      </c>
      <c r="B74" s="24"/>
      <c r="C74" s="24"/>
      <c r="D74" s="24"/>
      <c r="E74" s="24"/>
      <c r="F74" s="24"/>
      <c r="G74" s="24"/>
      <c r="H74" s="24"/>
      <c r="I74" s="25"/>
    </row>
    <row r="75" spans="1:10" ht="14.25" customHeight="1">
      <c r="A75" s="2">
        <v>50</v>
      </c>
      <c r="B75" s="2" t="s">
        <v>262</v>
      </c>
      <c r="C75" s="2">
        <v>1</v>
      </c>
      <c r="D75" s="2" t="s">
        <v>263</v>
      </c>
      <c r="E75" s="2" t="s">
        <v>264</v>
      </c>
      <c r="F75" s="2"/>
      <c r="G75" s="4">
        <v>14.76</v>
      </c>
      <c r="H75" s="4">
        <f t="shared" ref="H75:H79" si="11">C75*G75</f>
        <v>14.76</v>
      </c>
      <c r="I75" s="2" t="s">
        <v>265</v>
      </c>
    </row>
    <row r="76" spans="1:10" ht="116.25" customHeight="1">
      <c r="A76" s="2">
        <v>51</v>
      </c>
      <c r="B76" s="2" t="s">
        <v>266</v>
      </c>
      <c r="C76" s="2">
        <v>1</v>
      </c>
      <c r="D76" s="2" t="s">
        <v>267</v>
      </c>
      <c r="E76" s="2" t="s">
        <v>268</v>
      </c>
      <c r="F76" s="3" t="s">
        <v>269</v>
      </c>
      <c r="G76" s="4">
        <v>13.2</v>
      </c>
      <c r="H76" s="4">
        <f t="shared" si="11"/>
        <v>13.2</v>
      </c>
      <c r="I76" s="2" t="s">
        <v>270</v>
      </c>
    </row>
    <row r="77" spans="1:10" ht="14.25" customHeight="1">
      <c r="A77" s="2">
        <v>52</v>
      </c>
      <c r="B77" s="2" t="s">
        <v>271</v>
      </c>
      <c r="C77" s="2">
        <v>10</v>
      </c>
      <c r="D77" s="2" t="s">
        <v>272</v>
      </c>
      <c r="E77" s="2" t="s">
        <v>273</v>
      </c>
      <c r="F77" s="3" t="s">
        <v>274</v>
      </c>
      <c r="G77" s="4">
        <v>1.99</v>
      </c>
      <c r="H77" s="4">
        <f t="shared" si="11"/>
        <v>19.899999999999999</v>
      </c>
      <c r="I77" s="2" t="s">
        <v>275</v>
      </c>
    </row>
    <row r="78" spans="1:10" ht="14.25" customHeight="1">
      <c r="A78" s="13">
        <v>53</v>
      </c>
      <c r="B78" s="13" t="s">
        <v>276</v>
      </c>
      <c r="C78" s="13">
        <v>0</v>
      </c>
      <c r="D78" s="13" t="s">
        <v>277</v>
      </c>
      <c r="E78" s="13" t="s">
        <v>273</v>
      </c>
      <c r="F78" s="28" t="s">
        <v>278</v>
      </c>
      <c r="G78" s="14">
        <v>1.72</v>
      </c>
      <c r="H78" s="14">
        <f t="shared" si="11"/>
        <v>0</v>
      </c>
      <c r="I78" s="13" t="s">
        <v>279</v>
      </c>
      <c r="J78" s="8" t="s">
        <v>280</v>
      </c>
    </row>
    <row r="79" spans="1:10" ht="14.25" customHeight="1">
      <c r="A79" s="13"/>
      <c r="B79" s="13"/>
      <c r="C79" s="13">
        <v>0</v>
      </c>
      <c r="D79" s="13" t="s">
        <v>281</v>
      </c>
      <c r="E79" s="13"/>
      <c r="F79" s="28" t="s">
        <v>282</v>
      </c>
      <c r="G79" s="14">
        <v>5.55</v>
      </c>
      <c r="H79" s="14">
        <f t="shared" si="11"/>
        <v>0</v>
      </c>
      <c r="I79" s="13"/>
    </row>
    <row r="80" spans="1:10" ht="14.25" customHeight="1">
      <c r="A80" s="2">
        <v>53</v>
      </c>
      <c r="B80" s="2" t="s">
        <v>276</v>
      </c>
      <c r="C80" s="2">
        <v>1</v>
      </c>
      <c r="D80" s="2" t="s">
        <v>283</v>
      </c>
      <c r="E80" s="2" t="s">
        <v>284</v>
      </c>
      <c r="F80" s="3" t="s">
        <v>285</v>
      </c>
      <c r="G80" s="4">
        <v>14.59</v>
      </c>
      <c r="H80" s="4">
        <f>G80*C80</f>
        <v>14.59</v>
      </c>
      <c r="I80" s="2"/>
    </row>
    <row r="81" spans="1:9" ht="14.25" customHeight="1">
      <c r="A81" s="2">
        <v>54</v>
      </c>
      <c r="B81" s="2" t="s">
        <v>286</v>
      </c>
      <c r="C81" s="2">
        <v>4</v>
      </c>
      <c r="D81" s="2" t="s">
        <v>287</v>
      </c>
      <c r="E81" s="2" t="s">
        <v>288</v>
      </c>
      <c r="F81" s="3" t="s">
        <v>289</v>
      </c>
      <c r="G81" s="4">
        <v>1.9</v>
      </c>
      <c r="H81" s="4">
        <f>C81*G81</f>
        <v>7.6</v>
      </c>
      <c r="I81" s="2" t="s">
        <v>290</v>
      </c>
    </row>
    <row r="82" spans="1:9" ht="14.25" customHeight="1">
      <c r="A82" s="26" t="s">
        <v>291</v>
      </c>
      <c r="B82" s="24"/>
      <c r="C82" s="24"/>
      <c r="D82" s="24"/>
      <c r="E82" s="24"/>
      <c r="F82" s="24"/>
      <c r="G82" s="24"/>
      <c r="H82" s="24"/>
      <c r="I82" s="25"/>
    </row>
    <row r="83" spans="1:9" ht="14.25" customHeight="1">
      <c r="A83" s="2">
        <v>55</v>
      </c>
      <c r="B83" s="2" t="s">
        <v>292</v>
      </c>
      <c r="C83" s="2">
        <v>1</v>
      </c>
      <c r="D83" s="2" t="s">
        <v>293</v>
      </c>
      <c r="E83" s="2" t="s">
        <v>294</v>
      </c>
      <c r="F83" s="3" t="s">
        <v>295</v>
      </c>
      <c r="G83" s="4">
        <v>2.6</v>
      </c>
      <c r="H83" s="4">
        <f t="shared" ref="H83:H84" si="12">C83*G83</f>
        <v>2.6</v>
      </c>
      <c r="I83" s="2" t="s">
        <v>296</v>
      </c>
    </row>
    <row r="84" spans="1:9" ht="14.25" customHeight="1">
      <c r="A84" s="2">
        <v>56</v>
      </c>
      <c r="B84" s="2" t="s">
        <v>297</v>
      </c>
      <c r="C84" s="2">
        <v>4</v>
      </c>
      <c r="D84" s="2" t="s">
        <v>298</v>
      </c>
      <c r="E84" s="2" t="s">
        <v>299</v>
      </c>
      <c r="F84" s="3" t="s">
        <v>300</v>
      </c>
      <c r="G84" s="4">
        <v>2.29</v>
      </c>
      <c r="H84" s="4">
        <f t="shared" si="12"/>
        <v>9.16</v>
      </c>
      <c r="I84" s="2" t="s">
        <v>301</v>
      </c>
    </row>
    <row r="85" spans="1:9" ht="14.25" customHeight="1">
      <c r="A85" s="26" t="s">
        <v>302</v>
      </c>
      <c r="B85" s="24"/>
      <c r="C85" s="24"/>
      <c r="D85" s="24"/>
      <c r="E85" s="24"/>
      <c r="F85" s="24"/>
      <c r="G85" s="24"/>
      <c r="H85" s="24"/>
      <c r="I85" s="25"/>
    </row>
    <row r="86" spans="1:9" ht="14.25" customHeight="1">
      <c r="A86" s="2">
        <v>57</v>
      </c>
      <c r="B86" s="2" t="s">
        <v>303</v>
      </c>
      <c r="C86" s="2">
        <v>2</v>
      </c>
      <c r="D86" s="2" t="s">
        <v>304</v>
      </c>
      <c r="E86" s="2" t="s">
        <v>305</v>
      </c>
      <c r="F86" s="3" t="s">
        <v>306</v>
      </c>
      <c r="G86" s="4">
        <v>2.7</v>
      </c>
      <c r="H86" s="4">
        <f t="shared" ref="H86:H88" si="13">C86*G86</f>
        <v>5.4</v>
      </c>
      <c r="I86" s="2" t="s">
        <v>307</v>
      </c>
    </row>
    <row r="87" spans="1:9" ht="14.25" customHeight="1">
      <c r="A87" s="2">
        <v>58</v>
      </c>
      <c r="B87" s="2" t="s">
        <v>308</v>
      </c>
      <c r="C87" s="2">
        <v>1</v>
      </c>
      <c r="D87" s="2" t="s">
        <v>309</v>
      </c>
      <c r="E87" s="2" t="s">
        <v>310</v>
      </c>
      <c r="F87" s="3" t="s">
        <v>311</v>
      </c>
      <c r="G87" s="4">
        <v>1.99</v>
      </c>
      <c r="H87" s="4">
        <f t="shared" si="13"/>
        <v>1.99</v>
      </c>
      <c r="I87" s="2" t="s">
        <v>312</v>
      </c>
    </row>
    <row r="88" spans="1:9" ht="14.25" customHeight="1">
      <c r="A88" s="2">
        <v>59</v>
      </c>
      <c r="B88" s="2" t="s">
        <v>313</v>
      </c>
      <c r="C88" s="2">
        <v>1</v>
      </c>
      <c r="D88" s="2" t="s">
        <v>314</v>
      </c>
      <c r="E88" s="2" t="s">
        <v>315</v>
      </c>
      <c r="F88" s="3" t="s">
        <v>316</v>
      </c>
      <c r="G88" s="4">
        <v>5.49</v>
      </c>
      <c r="H88" s="4">
        <f t="shared" si="13"/>
        <v>5.49</v>
      </c>
      <c r="I88" s="2" t="s">
        <v>317</v>
      </c>
    </row>
    <row r="89" spans="1:9" ht="14.25" customHeight="1">
      <c r="A89" s="26" t="s">
        <v>318</v>
      </c>
      <c r="B89" s="24"/>
      <c r="C89" s="24"/>
      <c r="D89" s="24"/>
      <c r="E89" s="24"/>
      <c r="F89" s="24"/>
      <c r="G89" s="24"/>
      <c r="H89" s="24"/>
      <c r="I89" s="25"/>
    </row>
    <row r="90" spans="1:9" ht="14.25" customHeight="1">
      <c r="A90" s="2">
        <v>60</v>
      </c>
      <c r="B90" s="2" t="s">
        <v>319</v>
      </c>
      <c r="C90" s="2">
        <v>4</v>
      </c>
      <c r="D90" s="2" t="s">
        <v>320</v>
      </c>
      <c r="E90" s="2" t="s">
        <v>321</v>
      </c>
      <c r="F90" s="3" t="s">
        <v>322</v>
      </c>
      <c r="G90" s="4">
        <v>7.55</v>
      </c>
      <c r="H90" s="4">
        <f>C90*G90</f>
        <v>30.2</v>
      </c>
      <c r="I90" s="2" t="s">
        <v>323</v>
      </c>
    </row>
    <row r="91" spans="1:9" ht="14.25" customHeight="1">
      <c r="A91" s="27" t="s">
        <v>324</v>
      </c>
      <c r="B91" s="24"/>
      <c r="C91" s="24"/>
      <c r="D91" s="24"/>
      <c r="E91" s="24"/>
      <c r="F91" s="25"/>
      <c r="G91" s="10"/>
      <c r="H91" s="11">
        <f>SUM(H74:H90)</f>
        <v>124.88999999999999</v>
      </c>
      <c r="I91" s="10"/>
    </row>
    <row r="92" spans="1:9" ht="14.25" customHeight="1"/>
    <row r="93" spans="1:9" ht="14.25" customHeight="1">
      <c r="A93" s="26" t="s">
        <v>325</v>
      </c>
      <c r="B93" s="24"/>
      <c r="C93" s="24"/>
      <c r="D93" s="24"/>
      <c r="E93" s="24"/>
      <c r="F93" s="24"/>
      <c r="G93" s="24"/>
      <c r="H93" s="24"/>
      <c r="I93" s="25"/>
    </row>
    <row r="94" spans="1:9" ht="14.25" customHeight="1">
      <c r="A94" s="2">
        <v>61</v>
      </c>
      <c r="B94" s="2" t="s">
        <v>326</v>
      </c>
      <c r="C94" s="2">
        <v>1</v>
      </c>
      <c r="D94" s="2" t="s">
        <v>327</v>
      </c>
      <c r="E94" s="2" t="s">
        <v>328</v>
      </c>
      <c r="F94" s="2"/>
      <c r="G94" s="4"/>
      <c r="H94" s="4">
        <f t="shared" ref="H94:H96" si="14">C94*G94</f>
        <v>0</v>
      </c>
      <c r="I94" s="2" t="s">
        <v>329</v>
      </c>
    </row>
    <row r="95" spans="1:9" ht="14.25" customHeight="1">
      <c r="A95" s="2">
        <v>62</v>
      </c>
      <c r="B95" s="2" t="s">
        <v>330</v>
      </c>
      <c r="C95" s="2">
        <v>1</v>
      </c>
      <c r="D95" s="2" t="s">
        <v>331</v>
      </c>
      <c r="E95" s="2" t="s">
        <v>332</v>
      </c>
      <c r="F95" s="3" t="s">
        <v>333</v>
      </c>
      <c r="G95" s="4">
        <v>11.56</v>
      </c>
      <c r="H95" s="4">
        <f t="shared" si="14"/>
        <v>11.56</v>
      </c>
      <c r="I95" s="2" t="s">
        <v>334</v>
      </c>
    </row>
    <row r="96" spans="1:9" ht="14.25" customHeight="1">
      <c r="A96" s="2">
        <v>63</v>
      </c>
      <c r="B96" s="2" t="s">
        <v>335</v>
      </c>
      <c r="C96" s="2">
        <v>1</v>
      </c>
      <c r="D96" s="2" t="s">
        <v>336</v>
      </c>
      <c r="E96" s="2" t="s">
        <v>337</v>
      </c>
      <c r="F96" s="3" t="s">
        <v>338</v>
      </c>
      <c r="G96" s="4">
        <v>0.04</v>
      </c>
      <c r="H96" s="4">
        <f t="shared" si="14"/>
        <v>0.04</v>
      </c>
      <c r="I96" s="2" t="s">
        <v>339</v>
      </c>
    </row>
    <row r="97" spans="1:9" ht="14.25" customHeight="1">
      <c r="A97" s="27" t="s">
        <v>340</v>
      </c>
      <c r="B97" s="24"/>
      <c r="C97" s="24"/>
      <c r="D97" s="24"/>
      <c r="E97" s="24"/>
      <c r="F97" s="25"/>
      <c r="G97" s="10"/>
      <c r="H97" s="11">
        <f>SUM(H94:H96)</f>
        <v>11.6</v>
      </c>
      <c r="I97" s="10"/>
    </row>
    <row r="98" spans="1:9" ht="14.25" customHeight="1"/>
    <row r="99" spans="1:9" ht="14.25" customHeight="1">
      <c r="A99" s="26" t="s">
        <v>341</v>
      </c>
      <c r="B99" s="24"/>
      <c r="C99" s="24"/>
      <c r="D99" s="24"/>
      <c r="E99" s="24"/>
      <c r="F99" s="24"/>
      <c r="G99" s="24"/>
      <c r="H99" s="24"/>
      <c r="I99" s="25"/>
    </row>
    <row r="100" spans="1:9" ht="14.25" customHeight="1">
      <c r="A100" s="2">
        <v>64</v>
      </c>
      <c r="B100" s="2" t="s">
        <v>342</v>
      </c>
      <c r="C100" s="2">
        <v>1</v>
      </c>
      <c r="D100" s="2" t="s">
        <v>343</v>
      </c>
      <c r="E100" s="2" t="s">
        <v>344</v>
      </c>
      <c r="F100" s="2"/>
      <c r="G100" s="4"/>
      <c r="H100" s="4">
        <f>C100*G100</f>
        <v>0</v>
      </c>
      <c r="I100" s="2" t="s">
        <v>345</v>
      </c>
    </row>
    <row r="101" spans="1:9" ht="14.25" customHeight="1">
      <c r="A101" s="27" t="s">
        <v>346</v>
      </c>
      <c r="B101" s="24"/>
      <c r="C101" s="24"/>
      <c r="D101" s="24"/>
      <c r="E101" s="24"/>
      <c r="F101" s="25"/>
      <c r="G101" s="10"/>
      <c r="H101" s="11">
        <f>SUM(H100)</f>
        <v>0</v>
      </c>
      <c r="I101" s="10"/>
    </row>
    <row r="102" spans="1:9" ht="14.25" customHeight="1"/>
    <row r="103" spans="1:9" ht="14.25" customHeight="1">
      <c r="A103" s="29" t="s">
        <v>347</v>
      </c>
      <c r="B103" s="30"/>
      <c r="C103" s="30"/>
      <c r="D103" s="30"/>
      <c r="E103" s="30"/>
      <c r="F103" s="31"/>
      <c r="G103" s="15"/>
      <c r="H103" s="16">
        <f>H49+H71+H91+H97+H101</f>
        <v>254.26000000000002</v>
      </c>
      <c r="I103" s="15"/>
    </row>
    <row r="104" spans="1:9" ht="14.25" customHeight="1">
      <c r="A104" s="32" t="s">
        <v>348</v>
      </c>
      <c r="B104" s="20"/>
      <c r="C104" s="20"/>
      <c r="D104" s="20"/>
      <c r="E104" s="20"/>
      <c r="F104" s="20"/>
      <c r="H104" s="17">
        <v>400</v>
      </c>
    </row>
    <row r="105" spans="1:9" ht="14.25" customHeight="1">
      <c r="A105" s="33" t="s">
        <v>349</v>
      </c>
      <c r="B105" s="20"/>
      <c r="C105" s="20"/>
      <c r="D105" s="20"/>
      <c r="E105" s="20"/>
      <c r="F105" s="20"/>
      <c r="H105" s="18">
        <f>400-H103</f>
        <v>145.73999999999998</v>
      </c>
    </row>
    <row r="106" spans="1:9" ht="14.25" customHeight="1"/>
    <row r="107" spans="1:9" ht="14.25" customHeight="1"/>
    <row r="108" spans="1:9" ht="14.25" customHeight="1"/>
    <row r="109" spans="1:9" ht="14.25" customHeight="1"/>
    <row r="110" spans="1:9" ht="14.25" customHeight="1"/>
    <row r="111" spans="1:9" ht="14.25" customHeight="1"/>
    <row r="112" spans="1:9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31">
    <mergeCell ref="A82:I82"/>
    <mergeCell ref="A103:F103"/>
    <mergeCell ref="A104:F104"/>
    <mergeCell ref="A105:F105"/>
    <mergeCell ref="A85:I85"/>
    <mergeCell ref="A89:I89"/>
    <mergeCell ref="A91:F91"/>
    <mergeCell ref="A93:I93"/>
    <mergeCell ref="A97:F97"/>
    <mergeCell ref="A99:I99"/>
    <mergeCell ref="A101:F101"/>
    <mergeCell ref="A62:I62"/>
    <mergeCell ref="A67:I67"/>
    <mergeCell ref="A71:F71"/>
    <mergeCell ref="A73:I73"/>
    <mergeCell ref="A74:I74"/>
    <mergeCell ref="A40:I40"/>
    <mergeCell ref="A49:F49"/>
    <mergeCell ref="A51:I51"/>
    <mergeCell ref="A52:I52"/>
    <mergeCell ref="A58:I58"/>
    <mergeCell ref="A15:I15"/>
    <mergeCell ref="A18:I18"/>
    <mergeCell ref="A22:I22"/>
    <mergeCell ref="A28:I28"/>
    <mergeCell ref="A36:I36"/>
    <mergeCell ref="A1:I1"/>
    <mergeCell ref="A2:I2"/>
    <mergeCell ref="A3:I3"/>
    <mergeCell ref="A6:I6"/>
    <mergeCell ref="A7:I7"/>
  </mergeCells>
  <hyperlinks>
    <hyperlink ref="F8" r:id="rId1" xr:uid="{00000000-0004-0000-0000-000000000000}"/>
    <hyperlink ref="F9" r:id="rId2" xr:uid="{00000000-0004-0000-0000-000001000000}"/>
    <hyperlink ref="F10" r:id="rId3" xr:uid="{00000000-0004-0000-0000-000002000000}"/>
    <hyperlink ref="F11" r:id="rId4" xr:uid="{00000000-0004-0000-0000-000003000000}"/>
    <hyperlink ref="F12" r:id="rId5" location="closemodal" xr:uid="{00000000-0004-0000-0000-000004000000}"/>
    <hyperlink ref="F13" r:id="rId6" xr:uid="{00000000-0004-0000-0000-000005000000}"/>
    <hyperlink ref="F14" r:id="rId7" xr:uid="{00000000-0004-0000-0000-000006000000}"/>
    <hyperlink ref="F16" r:id="rId8" xr:uid="{00000000-0004-0000-0000-000007000000}"/>
    <hyperlink ref="F17" r:id="rId9" xr:uid="{00000000-0004-0000-0000-000008000000}"/>
    <hyperlink ref="F20" r:id="rId10" xr:uid="{00000000-0004-0000-0000-000009000000}"/>
    <hyperlink ref="F21" r:id="rId11" xr:uid="{00000000-0004-0000-0000-00000A000000}"/>
    <hyperlink ref="F23" r:id="rId12" xr:uid="{00000000-0004-0000-0000-00000B000000}"/>
    <hyperlink ref="F24" r:id="rId13" xr:uid="{00000000-0004-0000-0000-00000C000000}"/>
    <hyperlink ref="F25" r:id="rId14" xr:uid="{00000000-0004-0000-0000-00000D000000}"/>
    <hyperlink ref="F26" r:id="rId15" xr:uid="{00000000-0004-0000-0000-00000E000000}"/>
    <hyperlink ref="F27" r:id="rId16" xr:uid="{00000000-0004-0000-0000-00000F000000}"/>
    <hyperlink ref="F29" r:id="rId17" xr:uid="{00000000-0004-0000-0000-000010000000}"/>
    <hyperlink ref="F30" r:id="rId18" xr:uid="{00000000-0004-0000-0000-000011000000}"/>
    <hyperlink ref="F31" r:id="rId19" xr:uid="{00000000-0004-0000-0000-000012000000}"/>
    <hyperlink ref="F32" r:id="rId20" xr:uid="{00000000-0004-0000-0000-000013000000}"/>
    <hyperlink ref="F33" r:id="rId21" xr:uid="{00000000-0004-0000-0000-000014000000}"/>
    <hyperlink ref="F34" r:id="rId22" xr:uid="{00000000-0004-0000-0000-000015000000}"/>
    <hyperlink ref="F35" r:id="rId23" xr:uid="{00000000-0004-0000-0000-000016000000}"/>
    <hyperlink ref="F37" r:id="rId24" xr:uid="{00000000-0004-0000-0000-000017000000}"/>
    <hyperlink ref="F38" r:id="rId25" xr:uid="{00000000-0004-0000-0000-000018000000}"/>
    <hyperlink ref="F39" r:id="rId26" xr:uid="{00000000-0004-0000-0000-000019000000}"/>
    <hyperlink ref="F41" r:id="rId27" xr:uid="{00000000-0004-0000-0000-00001A000000}"/>
    <hyperlink ref="F42" r:id="rId28" xr:uid="{00000000-0004-0000-0000-00001B000000}"/>
    <hyperlink ref="F43" r:id="rId29" xr:uid="{00000000-0004-0000-0000-00001C000000}"/>
    <hyperlink ref="F44" r:id="rId30" xr:uid="{00000000-0004-0000-0000-00001D000000}"/>
    <hyperlink ref="F45" r:id="rId31" xr:uid="{00000000-0004-0000-0000-00001E000000}"/>
    <hyperlink ref="F46" r:id="rId32" xr:uid="{00000000-0004-0000-0000-00001F000000}"/>
    <hyperlink ref="F47" r:id="rId33" xr:uid="{00000000-0004-0000-0000-000020000000}"/>
    <hyperlink ref="F48" r:id="rId34" xr:uid="{00000000-0004-0000-0000-000021000000}"/>
    <hyperlink ref="F53" r:id="rId35" xr:uid="{00000000-0004-0000-0000-000022000000}"/>
    <hyperlink ref="F54" r:id="rId36" xr:uid="{00000000-0004-0000-0000-000023000000}"/>
    <hyperlink ref="F55" r:id="rId37" xr:uid="{00000000-0004-0000-0000-000024000000}"/>
    <hyperlink ref="F56" r:id="rId38" xr:uid="{00000000-0004-0000-0000-000025000000}"/>
    <hyperlink ref="F57" r:id="rId39" xr:uid="{00000000-0004-0000-0000-000026000000}"/>
    <hyperlink ref="F59" r:id="rId40" xr:uid="{00000000-0004-0000-0000-000027000000}"/>
    <hyperlink ref="F60" r:id="rId41" xr:uid="{00000000-0004-0000-0000-000028000000}"/>
    <hyperlink ref="F61" r:id="rId42" xr:uid="{00000000-0004-0000-0000-000029000000}"/>
    <hyperlink ref="F63" r:id="rId43" xr:uid="{00000000-0004-0000-0000-00002A000000}"/>
    <hyperlink ref="F64" r:id="rId44" xr:uid="{00000000-0004-0000-0000-00002B000000}"/>
    <hyperlink ref="F65" r:id="rId45" xr:uid="{00000000-0004-0000-0000-00002C000000}"/>
    <hyperlink ref="F66" r:id="rId46" xr:uid="{00000000-0004-0000-0000-00002D000000}"/>
    <hyperlink ref="F68" r:id="rId47" xr:uid="{00000000-0004-0000-0000-00002E000000}"/>
    <hyperlink ref="F69" r:id="rId48" xr:uid="{00000000-0004-0000-0000-00002F000000}"/>
    <hyperlink ref="F70" r:id="rId49" xr:uid="{00000000-0004-0000-0000-000030000000}"/>
    <hyperlink ref="F76" r:id="rId50" xr:uid="{00000000-0004-0000-0000-000031000000}"/>
    <hyperlink ref="F77" r:id="rId51" xr:uid="{00000000-0004-0000-0000-000032000000}"/>
    <hyperlink ref="F78" r:id="rId52" xr:uid="{00000000-0004-0000-0000-000033000000}"/>
    <hyperlink ref="F79" r:id="rId53" xr:uid="{00000000-0004-0000-0000-000034000000}"/>
    <hyperlink ref="F80" r:id="rId54" xr:uid="{00000000-0004-0000-0000-000035000000}"/>
    <hyperlink ref="F81" r:id="rId55" xr:uid="{00000000-0004-0000-0000-000036000000}"/>
    <hyperlink ref="F83" r:id="rId56" xr:uid="{00000000-0004-0000-0000-000037000000}"/>
    <hyperlink ref="F84" r:id="rId57" xr:uid="{00000000-0004-0000-0000-000038000000}"/>
    <hyperlink ref="F86" r:id="rId58" xr:uid="{00000000-0004-0000-0000-000039000000}"/>
    <hyperlink ref="F87" r:id="rId59" xr:uid="{00000000-0004-0000-0000-00003A000000}"/>
    <hyperlink ref="F88" r:id="rId60" xr:uid="{00000000-0004-0000-0000-00003B000000}"/>
    <hyperlink ref="F90" r:id="rId61" xr:uid="{00000000-0004-0000-0000-00003C000000}"/>
    <hyperlink ref="F95" r:id="rId62" xr:uid="{00000000-0004-0000-0000-00003D000000}"/>
    <hyperlink ref="F96" r:id="rId63" xr:uid="{00000000-0004-0000-0000-00003E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2026-05-22T19:04:52Z</dcterms:created>
  <dcterms:modified xsi:type="dcterms:W3CDTF">2026-05-22T19:04:52Z</dcterms:modified>
  <cp:category/>
  <cp:contentStatus/>
</cp:coreProperties>
</file>